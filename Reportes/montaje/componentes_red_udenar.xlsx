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eriales" sheetId="1" r:id="rId4"/>
    <sheet state="visible" name="cables_calculos" sheetId="2" r:id="rId5"/>
    <sheet state="visible" name="tornilleria" sheetId="3" r:id="rId6"/>
  </sheets>
  <definedNames/>
  <calcPr/>
</workbook>
</file>

<file path=xl/sharedStrings.xml><?xml version="1.0" encoding="utf-8"?>
<sst xmlns="http://schemas.openxmlformats.org/spreadsheetml/2006/main" count="237" uniqueCount="164">
  <si>
    <t>Equipo</t>
  </si>
  <si>
    <t>Cantidad</t>
  </si>
  <si>
    <t>unidad</t>
  </si>
  <si>
    <t>Valor unitario</t>
  </si>
  <si>
    <t>total parcial</t>
  </si>
  <si>
    <t>IVA</t>
  </si>
  <si>
    <t>total equipo</t>
  </si>
  <si>
    <t>url</t>
  </si>
  <si>
    <t>Lugar</t>
  </si>
  <si>
    <t>Canaleta 100 x45</t>
  </si>
  <si>
    <t>und</t>
  </si>
  <si>
    <t>https://www.homecenter.com.co/homecenter-co/product/488883/canaleta-100-x-45-mm-2-m/488883/</t>
  </si>
  <si>
    <t>Canaleta ranurada 40x40</t>
  </si>
  <si>
    <t>https://electroservimos.co/sistemas-de-canalizacion/1514-cd44r-canaleta-plastica-ranurada-gris-40-x-40-dexson.html</t>
  </si>
  <si>
    <t xml:space="preserve">Mini break trifasico 3X63 A </t>
  </si>
  <si>
    <t>Casa electrica</t>
  </si>
  <si>
    <t>casa electrica</t>
  </si>
  <si>
    <t xml:space="preserve">Mini break bifásico 2X32 A </t>
  </si>
  <si>
    <t>https://www.homecenter.com.co/homecenter-co/product/3021931/mini-breaker-para-montaje-en-riel-1-polo-32-amp-6ka/3021931/</t>
  </si>
  <si>
    <t>Mini break monofásico 1X 16 A</t>
  </si>
  <si>
    <t>https://www.homecenter.com.co/homecenter-co/product/3021983/mini-breaker-para-montaje-en-riel-1-polo-16-amp-10ka/3021983/</t>
  </si>
  <si>
    <t>Breaks DC que se compra AC 2X63 A</t>
  </si>
  <si>
    <t>Caja metalica 70cmX50cmX25cm</t>
  </si>
  <si>
    <t>Soluciones electricas TyC Pasto</t>
  </si>
  <si>
    <t>Caja plastica para DC 30cmX25cmX12cm</t>
  </si>
  <si>
    <t>Riel Din</t>
  </si>
  <si>
    <t>m</t>
  </si>
  <si>
    <t>https://interelectricos.com.co/breakers/216/riel-din-omega-perforado-x-1-metro</t>
  </si>
  <si>
    <t>Medidor AC 120V 60Hz</t>
  </si>
  <si>
    <t>https://es.aliexpress.com/item/1005006561610805.html?spm=a2g0o.productlist.main.1.4afb41cfWvFSAE&amp;algo_pvid=4ccbec3f-88f4-4720-8c90-009789d8f0d5&amp;pdp_ext_f=%7B%22order%22%3A%2222%22%2C%22eval%22%3A%221%22%2C%22fromPage%22%3A%22search%22%7D&amp;utparam-url=scene%3Asearch%7Cquery_from%3A%7Cx_object_id%3A1005006561610805%7C_p_origin_prod%3A</t>
  </si>
  <si>
    <t>Medidor AC 220V 60Hz</t>
  </si>
  <si>
    <t>Medidor AC trifasico Huawei</t>
  </si>
  <si>
    <t>https://autosolar.co/vatimetros/vatimetro-huawei-smart-sensor</t>
  </si>
  <si>
    <t>AWG 12 negro</t>
  </si>
  <si>
    <t>rollo 100mts</t>
  </si>
  <si>
    <t>https://www.homecenter.com.co/homecenter-co/product/274235/cable-12-100m-negro/274235/</t>
  </si>
  <si>
    <t>AWG 12 verde</t>
  </si>
  <si>
    <t>https://www.homecenter.com.co/homecenter-co/product/274237/cable-12-100m-verde/274237/</t>
  </si>
  <si>
    <t>AWG 10 negro</t>
  </si>
  <si>
    <t>https://www.homecenter.com.co/homecenter-co/product/274193/alambre-10-rollo-100-metros-negro/274193/</t>
  </si>
  <si>
    <t>AWG 8</t>
  </si>
  <si>
    <t>https://electroservimos.co/cables-electricos/864-cb8-cable-thhn-thwn-n-8-awg-x-metro-negro-procablesnexans.html</t>
  </si>
  <si>
    <t>AWG 0/1</t>
  </si>
  <si>
    <t>https://interelectricas.com.co/alambres-y-cables/1994-cable-de-cobre-aislado-no-1-0-awg-metro-thhn-color-negro.html</t>
  </si>
  <si>
    <t>Bus DC</t>
  </si>
  <si>
    <t>https://www.aliexpress.com/p/tesla-landing/index.html?scenario=c_ppc_item_bridge&amp;productId=1005007944171708&amp;_immersiveMode=true&amp;withMainCard=true&amp;src=google&amp;aff_platform=true&amp;isdl=y&amp;src=google&amp;albch=shopping&amp;acnt=615-992-9880&amp;isdl=y&amp;slnk=&amp;plac=&amp;mtctp=&amp;albbt=Google_7_shopping&amp;aff_platform=google&amp;aff_short_key=_oFgTQeV&amp;&amp;albagn=888888&amp;&amp;ds_e_adid=&amp;ds_e_matchtype=&amp;ds_e_device=c&amp;ds_e_network=x&amp;ds_e_product_group_id=&amp;ds_e_product_id=es1005007944171708&amp;ds_e_product_merchant_id=778282819&amp;ds_e_product_country=CO&amp;ds_e_product_language=es&amp;ds_e_product_channel=online&amp;ds_e_product_store_id=&amp;ds_url_v=2&amp;albcp=22486112365&amp;albag=&amp;isSmbAutoCall=false&amp;needSmbHouyi=false&amp;gad_campaignid=22486182460</t>
  </si>
  <si>
    <t>Bus AC Barras 7 agujeros</t>
  </si>
  <si>
    <t xml:space="preserve">Chazo Doble Aleta 1/4 x 100 Unidades Con Tornillo 8 X1´ </t>
  </si>
  <si>
    <t>https://www.homecenter.com.co/homecenter-co/product/697100/chazo-doble-aleta-1-4-x-100-unidades-con-tornillo-8-x1-x-100-unidades/697100/</t>
  </si>
  <si>
    <t>Terminal redondo para cable #10</t>
  </si>
  <si>
    <t>https://interelectricas.com.co/articulos-varios/9402-terminal-pin-tubular-calibre-10-awg-negro.html</t>
  </si>
  <si>
    <t>Terminal redondo para cable #12</t>
  </si>
  <si>
    <t>paquete 100</t>
  </si>
  <si>
    <t>https://www.sodimac.cl/sodimac-cl/articulo/139077805/Terminal-Ferrul-Aislado-4mm-12AWG-%28Bolsa-100-Unidades%29/139077806</t>
  </si>
  <si>
    <t>Terminal de aro para cable #8</t>
  </si>
  <si>
    <t>https://interelectricas.com.co/articulos-electricos/1112-borna-no-8-awg-de-ponchar-estanada-en-cobre-barril-largo.html</t>
  </si>
  <si>
    <t>Tomacorriente blanco 120 V</t>
  </si>
  <si>
    <t>https://www.homecenter.com.co/homecenter-co/product/878163/toma-doble-p-t-cygnus-blanco/878163/</t>
  </si>
  <si>
    <t>Tomacorriente tomate 220 V</t>
  </si>
  <si>
    <t>Caja tomacorriente blanca</t>
  </si>
  <si>
    <t>https://www.homecenter.com.co/homecenter-co/product/206095/caja-de-empalme-plastico-2x4-n/206095/</t>
  </si>
  <si>
    <t>Cinta aislante color rojo</t>
  </si>
  <si>
    <t>https://interelectricas.com.co/articulos-electricos/1531-cinta-aislante-de-vinilo-rojo-de-3-4-x-20-mts-marca-vesta.html</t>
  </si>
  <si>
    <t>Cinta aislante color azul</t>
  </si>
  <si>
    <t>https://interelectricas.com.co/articulos-electricos/1529-cinta-aislante-de-vinilo-azul-de-3-4-x-20-mts-marca-vesta.html</t>
  </si>
  <si>
    <t>Cinta aislante color negro</t>
  </si>
  <si>
    <t>https://interelectricas.com.co/articulos-electricos/2276-cinta-aislante-de-vinilo-negra-3-4-x-20-mts-marca-vespa.html</t>
  </si>
  <si>
    <t>Cinta aislante color blanco</t>
  </si>
  <si>
    <t>https://interelectricas.com.co/articulos-electricos/1524-cinta-aislante-de-vinilo-blanco-de-3-4-x-20-mts-marca-vesta.html</t>
  </si>
  <si>
    <t>Cinta trasparente 24mm</t>
  </si>
  <si>
    <t>https://www.papyser.com/tienda/producto/cinta-empaque-transparente-48-mm-x-40-mt-tesa?gad_source=1&amp;gad_campaignid=18902749154&amp;gbraid=0AAAAACTR7EpHaGJszAbnrurIC9gRhU87h</t>
  </si>
  <si>
    <t>Total</t>
  </si>
  <si>
    <t>Punto inicio</t>
  </si>
  <si>
    <t>Tramo p1</t>
  </si>
  <si>
    <t>Intermedio</t>
  </si>
  <si>
    <t>Tramo p2</t>
  </si>
  <si>
    <t>Punto fin</t>
  </si>
  <si>
    <t>Subtotal</t>
  </si>
  <si>
    <t>n hilos</t>
  </si>
  <si>
    <t>Total cm</t>
  </si>
  <si>
    <t>Total m</t>
  </si>
  <si>
    <t>Numero AWG</t>
  </si>
  <si>
    <t>Terminales</t>
  </si>
  <si>
    <t>conexion a bus ac</t>
  </si>
  <si>
    <t>Nombre</t>
  </si>
  <si>
    <t>total</t>
  </si>
  <si>
    <t>Compra</t>
  </si>
  <si>
    <t>Tablero trifasico</t>
  </si>
  <si>
    <t>Tablero bifasico</t>
  </si>
  <si>
    <t>Cable AWG 0/1</t>
  </si>
  <si>
    <t>Multiplus in</t>
  </si>
  <si>
    <t>medidor 1</t>
  </si>
  <si>
    <t>Cable AWG 8</t>
  </si>
  <si>
    <t>break 1</t>
  </si>
  <si>
    <t>Cable AWG 10</t>
  </si>
  <si>
    <t>Rollo 100</t>
  </si>
  <si>
    <t>bus AC</t>
  </si>
  <si>
    <t>Cable AWG 12</t>
  </si>
  <si>
    <t>Multiplus out 1</t>
  </si>
  <si>
    <t>break 2</t>
  </si>
  <si>
    <t>Terminal redondo para cable 10</t>
  </si>
  <si>
    <t>medidor 2</t>
  </si>
  <si>
    <t>Terminal redondo para cable 12</t>
  </si>
  <si>
    <t>paquete 150</t>
  </si>
  <si>
    <t>tomacorriente 1</t>
  </si>
  <si>
    <t>Terminal de aro para cable 8</t>
  </si>
  <si>
    <t>Multiplus out 2</t>
  </si>
  <si>
    <t>break 3</t>
  </si>
  <si>
    <t>medidor 3</t>
  </si>
  <si>
    <t>tomacorriente 2</t>
  </si>
  <si>
    <t>Multiplus ll in</t>
  </si>
  <si>
    <t>medidor 4</t>
  </si>
  <si>
    <t>break 4</t>
  </si>
  <si>
    <t>Multiplus ll out 1</t>
  </si>
  <si>
    <t>break 5</t>
  </si>
  <si>
    <t>medidor 5</t>
  </si>
  <si>
    <t>tomacorriente 3</t>
  </si>
  <si>
    <t>Multiplus ll out 2</t>
  </si>
  <si>
    <t>break 6</t>
  </si>
  <si>
    <t>medidor 6</t>
  </si>
  <si>
    <t>tomacorriente 4</t>
  </si>
  <si>
    <t>Gen 24</t>
  </si>
  <si>
    <t>medidor 7</t>
  </si>
  <si>
    <t>break 7</t>
  </si>
  <si>
    <t>Gen 24 PVP</t>
  </si>
  <si>
    <t>break 8</t>
  </si>
  <si>
    <t>medidor 8</t>
  </si>
  <si>
    <t>tomacorriente 5</t>
  </si>
  <si>
    <t>bus AC 220</t>
  </si>
  <si>
    <t>break 9</t>
  </si>
  <si>
    <t>medidor 9</t>
  </si>
  <si>
    <t>tomacorriente 6</t>
  </si>
  <si>
    <t>Panel</t>
  </si>
  <si>
    <t>break DC 1,2,3</t>
  </si>
  <si>
    <t>gen24</t>
  </si>
  <si>
    <t>flexmax 60</t>
  </si>
  <si>
    <t>mppt victron</t>
  </si>
  <si>
    <t>bus DC 48</t>
  </si>
  <si>
    <t>multiplus ll</t>
  </si>
  <si>
    <t>Must</t>
  </si>
  <si>
    <t>bus DC 24</t>
  </si>
  <si>
    <t>0/1</t>
  </si>
  <si>
    <t>multiplus</t>
  </si>
  <si>
    <t>tierra</t>
  </si>
  <si>
    <t>must</t>
  </si>
  <si>
    <t>pylontech</t>
  </si>
  <si>
    <t>equipo a fijar</t>
  </si>
  <si>
    <t>Chazos</t>
  </si>
  <si>
    <t>cantidad</t>
  </si>
  <si>
    <t>tornillos</t>
  </si>
  <si>
    <t>MPPT Victron</t>
  </si>
  <si>
    <t>plastico 1/4</t>
  </si>
  <si>
    <t>cabeza plana 1 pul</t>
  </si>
  <si>
    <t>Cerbo GX</t>
  </si>
  <si>
    <t>canaleta 100x45</t>
  </si>
  <si>
    <t>cajas tomacorriente</t>
  </si>
  <si>
    <t>bus DC</t>
  </si>
  <si>
    <t>Caja  AC</t>
  </si>
  <si>
    <t>Caja DC</t>
  </si>
  <si>
    <t>canaleta ranurada 40x40</t>
  </si>
  <si>
    <t>Riel</t>
  </si>
  <si>
    <t>30.25.12</t>
  </si>
  <si>
    <t>50.50.15</t>
  </si>
  <si>
    <t>sin certificar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</si>
</sst>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</fonts>
  <fills count="7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164" xfId="0" applyAlignment="1" applyFont="1" applyNumberFormat="1">
      <alignment readingOrder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2" fontId="2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3" fontId="2" numFmtId="164" xfId="0" applyAlignment="1" applyFont="1" applyNumberFormat="1">
      <alignment readingOrder="0"/>
    </xf>
    <xf borderId="0" fillId="3" fontId="2" numFmtId="164" xfId="0" applyFont="1" applyNumberFormat="1"/>
    <xf borderId="0" fillId="0" fontId="3" numFmtId="0" xfId="0" applyAlignment="1" applyFont="1">
      <alignment readingOrder="0" shrinkToFit="0" wrapText="0"/>
    </xf>
    <xf borderId="0" fillId="4" fontId="2" numFmtId="0" xfId="0" applyAlignment="1" applyFill="1" applyFont="1">
      <alignment readingOrder="0"/>
    </xf>
    <xf borderId="0" fillId="4" fontId="2" numFmtId="164" xfId="0" applyAlignment="1" applyFont="1" applyNumberFormat="1">
      <alignment readingOrder="0"/>
    </xf>
    <xf borderId="0" fillId="4" fontId="2" numFmtId="164" xfId="0" applyFont="1" applyNumberFormat="1"/>
    <xf borderId="0" fillId="4" fontId="4" numFmtId="0" xfId="0" applyAlignment="1" applyFont="1">
      <alignment readingOrder="0" shrinkToFit="0" wrapText="0"/>
    </xf>
    <xf borderId="0" fillId="4" fontId="2" numFmtId="0" xfId="0" applyFont="1"/>
    <xf borderId="0" fillId="2" fontId="1" numFmtId="0" xfId="0" applyFont="1"/>
    <xf borderId="0" fillId="2" fontId="1" numFmtId="164" xfId="0" applyFont="1" applyNumberFormat="1"/>
    <xf borderId="0" fillId="0" fontId="2" numFmtId="0" xfId="0" applyAlignment="1" applyFont="1">
      <alignment shrinkToFit="0" wrapText="0"/>
    </xf>
    <xf borderId="0" fillId="0" fontId="2" numFmtId="164" xfId="0" applyFont="1" applyNumberFormat="1"/>
    <xf borderId="0" fillId="0" fontId="1" numFmtId="0" xfId="0" applyAlignment="1" applyFont="1">
      <alignment readingOrder="0"/>
    </xf>
    <xf borderId="1" fillId="5" fontId="1" numFmtId="0" xfId="0" applyAlignment="1" applyBorder="1" applyFill="1" applyFont="1">
      <alignment readingOrder="0"/>
    </xf>
    <xf borderId="0" fillId="0" fontId="1" numFmtId="0" xfId="0" applyFont="1"/>
    <xf borderId="0" fillId="0" fontId="2" numFmtId="0" xfId="0" applyFont="1"/>
    <xf borderId="1" fillId="6" fontId="2" numFmtId="0" xfId="0" applyAlignment="1" applyBorder="1" applyFill="1" applyFont="1">
      <alignment readingOrder="0"/>
    </xf>
    <xf borderId="1" fillId="6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homecenter.com.co/homecenter-co/product/878163/toma-doble-p-t-cygnus-blanco/878163/" TargetMode="External"/><Relationship Id="rId22" Type="http://schemas.openxmlformats.org/officeDocument/2006/relationships/hyperlink" Target="https://interelectricas.com.co/articulos-electricos/1531-cinta-aislante-de-vinilo-rojo-de-3-4-x-20-mts-marca-vesta.html" TargetMode="External"/><Relationship Id="rId21" Type="http://schemas.openxmlformats.org/officeDocument/2006/relationships/hyperlink" Target="https://www.homecenter.com.co/homecenter-co/product/206095/caja-de-empalme-plastico-2x4-n/206095/" TargetMode="External"/><Relationship Id="rId24" Type="http://schemas.openxmlformats.org/officeDocument/2006/relationships/hyperlink" Target="https://interelectricas.com.co/articulos-electricos/2276-cinta-aislante-de-vinilo-negra-3-4-x-20-mts-marca-vespa.html" TargetMode="External"/><Relationship Id="rId23" Type="http://schemas.openxmlformats.org/officeDocument/2006/relationships/hyperlink" Target="https://interelectricas.com.co/articulos-electricos/1529-cinta-aislante-de-vinilo-azul-de-3-4-x-20-mts-marca-vesta.html" TargetMode="External"/><Relationship Id="rId1" Type="http://schemas.openxmlformats.org/officeDocument/2006/relationships/hyperlink" Target="https://www.homecenter.com.co/homecenter-co/product/488883/canaleta-100-x-45-mm-2-m/488883/" TargetMode="External"/><Relationship Id="rId2" Type="http://schemas.openxmlformats.org/officeDocument/2006/relationships/hyperlink" Target="https://electroservimos.co/sistemas-de-canalizacion/1514-cd44r-canaleta-plastica-ranurada-gris-40-x-40-dexson.html" TargetMode="External"/><Relationship Id="rId3" Type="http://schemas.openxmlformats.org/officeDocument/2006/relationships/hyperlink" Target="https://www.homecenter.com.co/homecenter-co/product/3021931/mini-breaker-para-montaje-en-riel-1-polo-32-amp-6ka/3021931/" TargetMode="External"/><Relationship Id="rId4" Type="http://schemas.openxmlformats.org/officeDocument/2006/relationships/hyperlink" Target="https://www.homecenter.com.co/homecenter-co/product/3021983/mini-breaker-para-montaje-en-riel-1-polo-16-amp-10ka/3021983/" TargetMode="External"/><Relationship Id="rId9" Type="http://schemas.openxmlformats.org/officeDocument/2006/relationships/hyperlink" Target="https://www.homecenter.com.co/homecenter-co/product/274235/cable-12-100m-negro/274235/" TargetMode="External"/><Relationship Id="rId26" Type="http://schemas.openxmlformats.org/officeDocument/2006/relationships/hyperlink" Target="https://www.papyser.com/tienda/producto/cinta-empaque-transparente-48-mm-x-40-mt-tesa?gad_source=1&amp;gad_campaignid=18902749154&amp;gbraid=0AAAAACTR7EpHaGJszAbnrurIC9gRhU87h" TargetMode="External"/><Relationship Id="rId25" Type="http://schemas.openxmlformats.org/officeDocument/2006/relationships/hyperlink" Target="https://interelectricas.com.co/articulos-electricos/1524-cinta-aislante-de-vinilo-blanco-de-3-4-x-20-mts-marca-vesta.html" TargetMode="External"/><Relationship Id="rId27" Type="http://schemas.openxmlformats.org/officeDocument/2006/relationships/drawing" Target="../drawings/drawing1.xml"/><Relationship Id="rId5" Type="http://schemas.openxmlformats.org/officeDocument/2006/relationships/hyperlink" Target="https://interelectricos.com.co/breakers/216/riel-din-omega-perforado-x-1-metro" TargetMode="External"/><Relationship Id="rId6" Type="http://schemas.openxmlformats.org/officeDocument/2006/relationships/hyperlink" Target="https://es.aliexpress.com/item/1005006561610805.html?spm=a2g0o.productlist.main.1.4afb41cfWvFSAE&amp;algo_pvid=4ccbec3f-88f4-4720-8c90-009789d8f0d5&amp;pdp_ext_f=%7B%22order%22%3A%2222%22%2C%22eval%22%3A%221%22%2C%22fromPage%22%3A%22search%22%7D&amp;utparam-url=scene%3Asearch%7Cquery_from%3A%7Cx_object_id%3A1005006561610805%7C_p_origin_prod%3A" TargetMode="External"/><Relationship Id="rId7" Type="http://schemas.openxmlformats.org/officeDocument/2006/relationships/hyperlink" Target="https://es.aliexpress.com/item/1005006561610805.html?spm=a2g0o.productlist.main.1.4afb41cfWvFSAE&amp;algo_pvid=4ccbec3f-88f4-4720-8c90-009789d8f0d5&amp;pdp_ext_f=%7B%22order%22%3A%2222%22%2C%22eval%22%3A%221%22%2C%22fromPage%22%3A%22search%22%7D&amp;utparam-url=scene%3Asearch%7Cquery_from%3A%7Cx_object_id%3A1005006561610805%7C_p_origin_prod%3A" TargetMode="External"/><Relationship Id="rId8" Type="http://schemas.openxmlformats.org/officeDocument/2006/relationships/hyperlink" Target="https://autosolar.co/vatimetros/vatimetro-huawei-smart-sensor" TargetMode="External"/><Relationship Id="rId11" Type="http://schemas.openxmlformats.org/officeDocument/2006/relationships/hyperlink" Target="https://www.homecenter.com.co/homecenter-co/product/274193/alambre-10-rollo-100-metros-negro/274193/" TargetMode="External"/><Relationship Id="rId10" Type="http://schemas.openxmlformats.org/officeDocument/2006/relationships/hyperlink" Target="https://www.homecenter.com.co/homecenter-co/product/274237/cable-12-100m-verde/274237/" TargetMode="External"/><Relationship Id="rId13" Type="http://schemas.openxmlformats.org/officeDocument/2006/relationships/hyperlink" Target="https://interelectricas.com.co/alambres-y-cables/1994-cable-de-cobre-aislado-no-1-0-awg-metro-thhn-color-negro.html" TargetMode="External"/><Relationship Id="rId12" Type="http://schemas.openxmlformats.org/officeDocument/2006/relationships/hyperlink" Target="https://electroservimos.co/cables-electricos/864-cb8-cable-thhn-thwn-n-8-awg-x-metro-negro-procablesnexans.html" TargetMode="External"/><Relationship Id="rId15" Type="http://schemas.openxmlformats.org/officeDocument/2006/relationships/hyperlink" Target="https://www.homecenter.com.co/homecenter-co/product/697100/chazo-doble-aleta-1-4-x-100-unidades-con-tornillo-8-x1-x-100-unidades/697100/" TargetMode="External"/><Relationship Id="rId14" Type="http://schemas.openxmlformats.org/officeDocument/2006/relationships/hyperlink" Target="https://www.aliexpress.com/p/tesla-landing/index.html?scenario=c_ppc_item_bridge&amp;productId=1005007944171708&amp;_immersiveMode=true&amp;withMainCard=true&amp;src=google&amp;aff_platform=true&amp;isdl=y&amp;src=google&amp;albch=shopping&amp;acnt=615-992-9880&amp;isdl=y&amp;slnk=&amp;plac=&amp;mtctp=&amp;albbt=Google_7_shopping&amp;aff_platform=google&amp;aff_short_key=_oFgTQeV&amp;&amp;albagn=888888&amp;&amp;ds_e_adid=&amp;ds_e_matchtype=&amp;ds_e_device=c&amp;ds_e_network=x&amp;ds_e_product_group_id=&amp;ds_e_product_id=es1005007944171708&amp;ds_e_product_merchant_id=778282819&amp;ds_e_product_country=CO&amp;ds_e_product_language=es&amp;ds_e_product_channel=online&amp;ds_e_product_store_id=&amp;ds_url_v=2&amp;albcp=22486112365&amp;albag=&amp;isSmbAutoCall=false&amp;needSmbHouyi=false&amp;gad_campaignid=22486182460" TargetMode="External"/><Relationship Id="rId17" Type="http://schemas.openxmlformats.org/officeDocument/2006/relationships/hyperlink" Target="https://www.sodimac.cl/sodimac-cl/articulo/139077805/Terminal-Ferrul-Aislado-4mm-12AWG-%28Bolsa-100-Unidades%29/139077806" TargetMode="External"/><Relationship Id="rId16" Type="http://schemas.openxmlformats.org/officeDocument/2006/relationships/hyperlink" Target="https://interelectricas.com.co/articulos-varios/9402-terminal-pin-tubular-calibre-10-awg-negro.html" TargetMode="External"/><Relationship Id="rId19" Type="http://schemas.openxmlformats.org/officeDocument/2006/relationships/hyperlink" Target="https://www.homecenter.com.co/homecenter-co/product/878163/toma-doble-p-t-cygnus-blanco/878163/" TargetMode="External"/><Relationship Id="rId18" Type="http://schemas.openxmlformats.org/officeDocument/2006/relationships/hyperlink" Target="https://interelectricas.com.co/articulos-electricos/1112-borna-no-8-awg-de-ponchar-estanada-en-cobre-barril-largo.htm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5"/>
    <col customWidth="1" min="3" max="3" width="10.75"/>
    <col customWidth="1" min="8" max="8" width="14.5"/>
    <col customWidth="1" min="9" max="9" width="25.1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4" t="s">
        <v>8</v>
      </c>
    </row>
    <row r="2">
      <c r="A2" s="5" t="s">
        <v>9</v>
      </c>
      <c r="B2" s="6">
        <v>3.0</v>
      </c>
      <c r="C2" s="6" t="s">
        <v>10</v>
      </c>
      <c r="D2" s="7">
        <v>57900.0</v>
      </c>
      <c r="E2" s="8">
        <f t="shared" ref="E2:E32" si="1">D2*B2</f>
        <v>173700</v>
      </c>
      <c r="F2" s="8">
        <f t="shared" ref="F2:F32" si="2">E2*0.19</f>
        <v>33003</v>
      </c>
      <c r="G2" s="8">
        <f t="shared" ref="G2:G32" si="3">E2+F2</f>
        <v>206703</v>
      </c>
      <c r="H2" s="9" t="s">
        <v>11</v>
      </c>
    </row>
    <row r="3">
      <c r="A3" s="5" t="s">
        <v>12</v>
      </c>
      <c r="B3" s="6">
        <v>3.0</v>
      </c>
      <c r="C3" s="6" t="s">
        <v>10</v>
      </c>
      <c r="D3" s="7">
        <v>29787.0</v>
      </c>
      <c r="E3" s="8">
        <f t="shared" si="1"/>
        <v>89361</v>
      </c>
      <c r="F3" s="8">
        <f t="shared" si="2"/>
        <v>16978.59</v>
      </c>
      <c r="G3" s="8">
        <f t="shared" si="3"/>
        <v>106339.59</v>
      </c>
      <c r="H3" s="9" t="s">
        <v>13</v>
      </c>
    </row>
    <row r="4">
      <c r="A4" s="5" t="s">
        <v>14</v>
      </c>
      <c r="B4" s="6">
        <v>2.0</v>
      </c>
      <c r="C4" s="6" t="s">
        <v>10</v>
      </c>
      <c r="D4" s="7">
        <v>32000.0</v>
      </c>
      <c r="E4" s="8">
        <f t="shared" si="1"/>
        <v>64000</v>
      </c>
      <c r="F4" s="8">
        <f t="shared" si="2"/>
        <v>12160</v>
      </c>
      <c r="G4" s="8">
        <f t="shared" si="3"/>
        <v>76160</v>
      </c>
      <c r="H4" s="3" t="s">
        <v>15</v>
      </c>
      <c r="I4" s="4" t="s">
        <v>16</v>
      </c>
    </row>
    <row r="5">
      <c r="A5" s="5" t="s">
        <v>17</v>
      </c>
      <c r="B5" s="6">
        <v>10.0</v>
      </c>
      <c r="C5" s="6" t="s">
        <v>10</v>
      </c>
      <c r="D5" s="7">
        <v>17900.0</v>
      </c>
      <c r="E5" s="8">
        <f t="shared" si="1"/>
        <v>179000</v>
      </c>
      <c r="F5" s="8">
        <f t="shared" si="2"/>
        <v>34010</v>
      </c>
      <c r="G5" s="8">
        <f t="shared" si="3"/>
        <v>213010</v>
      </c>
      <c r="H5" s="9" t="s">
        <v>18</v>
      </c>
    </row>
    <row r="6">
      <c r="A6" s="5" t="s">
        <v>19</v>
      </c>
      <c r="B6" s="6">
        <v>6.0</v>
      </c>
      <c r="C6" s="6" t="s">
        <v>10</v>
      </c>
      <c r="D6" s="7">
        <v>23900.0</v>
      </c>
      <c r="E6" s="8">
        <f t="shared" si="1"/>
        <v>143400</v>
      </c>
      <c r="F6" s="8">
        <f t="shared" si="2"/>
        <v>27246</v>
      </c>
      <c r="G6" s="8">
        <f t="shared" si="3"/>
        <v>170646</v>
      </c>
      <c r="H6" s="9" t="s">
        <v>20</v>
      </c>
    </row>
    <row r="7">
      <c r="A7" s="5" t="s">
        <v>21</v>
      </c>
      <c r="B7" s="6">
        <v>6.0</v>
      </c>
      <c r="C7" s="6" t="s">
        <v>10</v>
      </c>
      <c r="D7" s="7">
        <v>17900.0</v>
      </c>
      <c r="E7" s="8">
        <f t="shared" si="1"/>
        <v>107400</v>
      </c>
      <c r="F7" s="8">
        <f t="shared" si="2"/>
        <v>20406</v>
      </c>
      <c r="G7" s="8">
        <f t="shared" si="3"/>
        <v>127806</v>
      </c>
      <c r="H7" s="3" t="s">
        <v>15</v>
      </c>
      <c r="I7" s="4" t="s">
        <v>16</v>
      </c>
    </row>
    <row r="8">
      <c r="A8" s="5" t="s">
        <v>22</v>
      </c>
      <c r="B8" s="6">
        <v>1.0</v>
      </c>
      <c r="C8" s="6" t="s">
        <v>10</v>
      </c>
      <c r="D8" s="7">
        <v>550000.0</v>
      </c>
      <c r="E8" s="8">
        <f t="shared" si="1"/>
        <v>550000</v>
      </c>
      <c r="F8" s="8">
        <f t="shared" si="2"/>
        <v>104500</v>
      </c>
      <c r="G8" s="8">
        <f t="shared" si="3"/>
        <v>654500</v>
      </c>
      <c r="H8" s="4" t="s">
        <v>23</v>
      </c>
      <c r="I8" s="4" t="s">
        <v>23</v>
      </c>
    </row>
    <row r="9">
      <c r="A9" s="5" t="s">
        <v>24</v>
      </c>
      <c r="B9" s="6">
        <v>1.0</v>
      </c>
      <c r="C9" s="6" t="s">
        <v>10</v>
      </c>
      <c r="D9" s="7">
        <v>65000.0</v>
      </c>
      <c r="E9" s="8">
        <f t="shared" si="1"/>
        <v>65000</v>
      </c>
      <c r="F9" s="8">
        <f t="shared" si="2"/>
        <v>12350</v>
      </c>
      <c r="G9" s="8">
        <f t="shared" si="3"/>
        <v>77350</v>
      </c>
      <c r="H9" s="4" t="s">
        <v>23</v>
      </c>
      <c r="I9" s="4" t="s">
        <v>23</v>
      </c>
    </row>
    <row r="10">
      <c r="A10" s="5" t="s">
        <v>25</v>
      </c>
      <c r="B10" s="6">
        <v>2.0</v>
      </c>
      <c r="C10" s="6" t="s">
        <v>26</v>
      </c>
      <c r="D10" s="7">
        <v>10000.0</v>
      </c>
      <c r="E10" s="8">
        <f t="shared" si="1"/>
        <v>20000</v>
      </c>
      <c r="F10" s="8">
        <f t="shared" si="2"/>
        <v>3800</v>
      </c>
      <c r="G10" s="8">
        <f t="shared" si="3"/>
        <v>23800</v>
      </c>
      <c r="H10" s="9" t="s">
        <v>27</v>
      </c>
      <c r="I10" s="4"/>
    </row>
    <row r="11">
      <c r="A11" s="5" t="s">
        <v>28</v>
      </c>
      <c r="B11" s="6">
        <v>8.0</v>
      </c>
      <c r="C11" s="6" t="s">
        <v>10</v>
      </c>
      <c r="D11" s="7">
        <v>45911.0</v>
      </c>
      <c r="E11" s="8">
        <f t="shared" si="1"/>
        <v>367288</v>
      </c>
      <c r="F11" s="8">
        <f t="shared" si="2"/>
        <v>69784.72</v>
      </c>
      <c r="G11" s="8">
        <f t="shared" si="3"/>
        <v>437072.72</v>
      </c>
      <c r="H11" s="9" t="s">
        <v>29</v>
      </c>
    </row>
    <row r="12">
      <c r="A12" s="5" t="s">
        <v>30</v>
      </c>
      <c r="B12" s="6">
        <v>4.0</v>
      </c>
      <c r="C12" s="6" t="s">
        <v>10</v>
      </c>
      <c r="D12" s="7">
        <v>46264.0</v>
      </c>
      <c r="E12" s="8">
        <f t="shared" si="1"/>
        <v>185056</v>
      </c>
      <c r="F12" s="8">
        <f t="shared" si="2"/>
        <v>35160.64</v>
      </c>
      <c r="G12" s="8">
        <f t="shared" si="3"/>
        <v>220216.64</v>
      </c>
      <c r="H12" s="9" t="s">
        <v>29</v>
      </c>
    </row>
    <row r="13">
      <c r="A13" s="10" t="s">
        <v>31</v>
      </c>
      <c r="B13" s="10">
        <v>1.0</v>
      </c>
      <c r="C13" s="10"/>
      <c r="D13" s="11">
        <v>787879.0</v>
      </c>
      <c r="E13" s="12">
        <f t="shared" si="1"/>
        <v>787879</v>
      </c>
      <c r="F13" s="12">
        <f t="shared" si="2"/>
        <v>149697.01</v>
      </c>
      <c r="G13" s="12">
        <f t="shared" si="3"/>
        <v>937576.01</v>
      </c>
      <c r="H13" s="13" t="s">
        <v>32</v>
      </c>
      <c r="I13" s="14"/>
      <c r="J13" s="10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</row>
    <row r="14">
      <c r="A14" s="5" t="s">
        <v>33</v>
      </c>
      <c r="B14" s="6">
        <v>1.0</v>
      </c>
      <c r="C14" s="6" t="s">
        <v>34</v>
      </c>
      <c r="D14" s="7">
        <v>231900.0</v>
      </c>
      <c r="E14" s="8">
        <f t="shared" si="1"/>
        <v>231900</v>
      </c>
      <c r="F14" s="8">
        <f t="shared" si="2"/>
        <v>44061</v>
      </c>
      <c r="G14" s="8">
        <f t="shared" si="3"/>
        <v>275961</v>
      </c>
      <c r="H14" s="9" t="s">
        <v>35</v>
      </c>
    </row>
    <row r="15">
      <c r="A15" s="5" t="s">
        <v>36</v>
      </c>
      <c r="B15" s="6">
        <v>20.0</v>
      </c>
      <c r="C15" s="6" t="s">
        <v>26</v>
      </c>
      <c r="D15" s="7">
        <v>2319.0</v>
      </c>
      <c r="E15" s="8">
        <f t="shared" si="1"/>
        <v>46380</v>
      </c>
      <c r="F15" s="8">
        <f t="shared" si="2"/>
        <v>8812.2</v>
      </c>
      <c r="G15" s="8">
        <f t="shared" si="3"/>
        <v>55192.2</v>
      </c>
      <c r="H15" s="9" t="s">
        <v>37</v>
      </c>
    </row>
    <row r="16">
      <c r="A16" s="5" t="s">
        <v>38</v>
      </c>
      <c r="B16" s="6">
        <v>1.0</v>
      </c>
      <c r="C16" s="6" t="s">
        <v>34</v>
      </c>
      <c r="D16" s="7">
        <v>343900.0</v>
      </c>
      <c r="E16" s="8">
        <f t="shared" si="1"/>
        <v>343900</v>
      </c>
      <c r="F16" s="8">
        <f t="shared" si="2"/>
        <v>65341</v>
      </c>
      <c r="G16" s="8">
        <f t="shared" si="3"/>
        <v>409241</v>
      </c>
      <c r="H16" s="9" t="s">
        <v>39</v>
      </c>
    </row>
    <row r="17">
      <c r="A17" s="5" t="s">
        <v>40</v>
      </c>
      <c r="B17" s="6">
        <v>4.0</v>
      </c>
      <c r="C17" s="6" t="s">
        <v>26</v>
      </c>
      <c r="D17" s="7">
        <v>6364.0</v>
      </c>
      <c r="E17" s="8">
        <f t="shared" si="1"/>
        <v>25456</v>
      </c>
      <c r="F17" s="8">
        <f t="shared" si="2"/>
        <v>4836.64</v>
      </c>
      <c r="G17" s="8">
        <f t="shared" si="3"/>
        <v>30292.64</v>
      </c>
      <c r="H17" s="9" t="s">
        <v>41</v>
      </c>
    </row>
    <row r="18">
      <c r="A18" s="5" t="s">
        <v>42</v>
      </c>
      <c r="B18" s="6">
        <v>5.0</v>
      </c>
      <c r="C18" s="6" t="s">
        <v>26</v>
      </c>
      <c r="D18" s="7">
        <v>39600.0</v>
      </c>
      <c r="E18" s="8">
        <f t="shared" si="1"/>
        <v>198000</v>
      </c>
      <c r="F18" s="8">
        <f t="shared" si="2"/>
        <v>37620</v>
      </c>
      <c r="G18" s="8">
        <f t="shared" si="3"/>
        <v>235620</v>
      </c>
      <c r="H18" s="9" t="s">
        <v>43</v>
      </c>
    </row>
    <row r="19">
      <c r="A19" s="5" t="s">
        <v>44</v>
      </c>
      <c r="B19" s="6">
        <v>1.0</v>
      </c>
      <c r="C19" s="6" t="s">
        <v>10</v>
      </c>
      <c r="D19" s="7">
        <v>35634.0</v>
      </c>
      <c r="E19" s="8">
        <f t="shared" si="1"/>
        <v>35634</v>
      </c>
      <c r="F19" s="8">
        <f t="shared" si="2"/>
        <v>6770.46</v>
      </c>
      <c r="G19" s="8">
        <f t="shared" si="3"/>
        <v>42404.46</v>
      </c>
      <c r="H19" s="9" t="s">
        <v>45</v>
      </c>
    </row>
    <row r="20">
      <c r="A20" s="5" t="s">
        <v>46</v>
      </c>
      <c r="B20" s="6">
        <v>4.0</v>
      </c>
      <c r="C20" s="6" t="s">
        <v>10</v>
      </c>
      <c r="D20" s="7">
        <v>22500.0</v>
      </c>
      <c r="E20" s="8">
        <f t="shared" si="1"/>
        <v>90000</v>
      </c>
      <c r="F20" s="8">
        <f t="shared" si="2"/>
        <v>17100</v>
      </c>
      <c r="G20" s="8">
        <f t="shared" si="3"/>
        <v>107100</v>
      </c>
      <c r="H20" s="4" t="s">
        <v>23</v>
      </c>
      <c r="I20" s="4" t="s">
        <v>23</v>
      </c>
    </row>
    <row r="21">
      <c r="A21" s="5" t="s">
        <v>47</v>
      </c>
      <c r="B21" s="6">
        <v>1.0</v>
      </c>
      <c r="C21" s="6" t="s">
        <v>10</v>
      </c>
      <c r="D21" s="7">
        <v>18900.0</v>
      </c>
      <c r="E21" s="8">
        <f t="shared" si="1"/>
        <v>18900</v>
      </c>
      <c r="F21" s="8">
        <f t="shared" si="2"/>
        <v>3591</v>
      </c>
      <c r="G21" s="8">
        <f t="shared" si="3"/>
        <v>22491</v>
      </c>
      <c r="H21" s="9" t="s">
        <v>48</v>
      </c>
    </row>
    <row r="22">
      <c r="A22" s="5" t="s">
        <v>49</v>
      </c>
      <c r="B22" s="6">
        <v>10.0</v>
      </c>
      <c r="C22" s="6" t="s">
        <v>10</v>
      </c>
      <c r="D22" s="7">
        <v>100.0</v>
      </c>
      <c r="E22" s="8">
        <f t="shared" si="1"/>
        <v>1000</v>
      </c>
      <c r="F22" s="8">
        <f t="shared" si="2"/>
        <v>190</v>
      </c>
      <c r="G22" s="8">
        <f t="shared" si="3"/>
        <v>1190</v>
      </c>
      <c r="H22" s="9" t="s">
        <v>50</v>
      </c>
    </row>
    <row r="23">
      <c r="A23" s="5" t="s">
        <v>51</v>
      </c>
      <c r="B23" s="6">
        <v>2.0</v>
      </c>
      <c r="C23" s="6" t="s">
        <v>52</v>
      </c>
      <c r="D23" s="7">
        <v>5754.0</v>
      </c>
      <c r="E23" s="8">
        <f t="shared" si="1"/>
        <v>11508</v>
      </c>
      <c r="F23" s="8">
        <f t="shared" si="2"/>
        <v>2186.52</v>
      </c>
      <c r="G23" s="8">
        <f t="shared" si="3"/>
        <v>13694.52</v>
      </c>
      <c r="H23" s="9" t="s">
        <v>53</v>
      </c>
    </row>
    <row r="24">
      <c r="A24" s="5" t="s">
        <v>54</v>
      </c>
      <c r="B24" s="6">
        <v>6.0</v>
      </c>
      <c r="C24" s="6" t="s">
        <v>10</v>
      </c>
      <c r="D24" s="7">
        <v>1200.0</v>
      </c>
      <c r="E24" s="8">
        <f t="shared" si="1"/>
        <v>7200</v>
      </c>
      <c r="F24" s="8">
        <f t="shared" si="2"/>
        <v>1368</v>
      </c>
      <c r="G24" s="8">
        <f t="shared" si="3"/>
        <v>8568</v>
      </c>
      <c r="H24" s="9" t="s">
        <v>55</v>
      </c>
    </row>
    <row r="25">
      <c r="A25" s="5" t="s">
        <v>56</v>
      </c>
      <c r="B25" s="6">
        <v>4.0</v>
      </c>
      <c r="C25" s="6" t="s">
        <v>10</v>
      </c>
      <c r="D25" s="7">
        <v>11400.0</v>
      </c>
      <c r="E25" s="8">
        <f t="shared" si="1"/>
        <v>45600</v>
      </c>
      <c r="F25" s="8">
        <f t="shared" si="2"/>
        <v>8664</v>
      </c>
      <c r="G25" s="8">
        <f t="shared" si="3"/>
        <v>54264</v>
      </c>
      <c r="H25" s="9" t="s">
        <v>57</v>
      </c>
    </row>
    <row r="26">
      <c r="A26" s="5" t="s">
        <v>58</v>
      </c>
      <c r="B26" s="6">
        <v>2.0</v>
      </c>
      <c r="C26" s="6" t="s">
        <v>10</v>
      </c>
      <c r="D26" s="7">
        <v>11400.0</v>
      </c>
      <c r="E26" s="8">
        <f t="shared" si="1"/>
        <v>22800</v>
      </c>
      <c r="F26" s="8">
        <f t="shared" si="2"/>
        <v>4332</v>
      </c>
      <c r="G26" s="8">
        <f t="shared" si="3"/>
        <v>27132</v>
      </c>
      <c r="H26" s="9" t="s">
        <v>57</v>
      </c>
    </row>
    <row r="27">
      <c r="A27" s="5" t="s">
        <v>59</v>
      </c>
      <c r="B27" s="6">
        <v>6.0</v>
      </c>
      <c r="C27" s="6" t="s">
        <v>10</v>
      </c>
      <c r="D27" s="7">
        <v>2400.0</v>
      </c>
      <c r="E27" s="8">
        <f t="shared" si="1"/>
        <v>14400</v>
      </c>
      <c r="F27" s="8">
        <f t="shared" si="2"/>
        <v>2736</v>
      </c>
      <c r="G27" s="8">
        <f t="shared" si="3"/>
        <v>17136</v>
      </c>
      <c r="H27" s="9" t="s">
        <v>60</v>
      </c>
    </row>
    <row r="28">
      <c r="A28" s="5" t="s">
        <v>61</v>
      </c>
      <c r="B28" s="6">
        <v>1.0</v>
      </c>
      <c r="C28" s="6" t="s">
        <v>10</v>
      </c>
      <c r="D28" s="7">
        <v>2950.0</v>
      </c>
      <c r="E28" s="8">
        <f t="shared" si="1"/>
        <v>2950</v>
      </c>
      <c r="F28" s="8">
        <f t="shared" si="2"/>
        <v>560.5</v>
      </c>
      <c r="G28" s="8">
        <f t="shared" si="3"/>
        <v>3510.5</v>
      </c>
      <c r="H28" s="9" t="s">
        <v>62</v>
      </c>
    </row>
    <row r="29">
      <c r="A29" s="5" t="s">
        <v>63</v>
      </c>
      <c r="B29" s="6">
        <v>1.0</v>
      </c>
      <c r="C29" s="6" t="s">
        <v>10</v>
      </c>
      <c r="D29" s="7">
        <v>2950.0</v>
      </c>
      <c r="E29" s="8">
        <f t="shared" si="1"/>
        <v>2950</v>
      </c>
      <c r="F29" s="8">
        <f t="shared" si="2"/>
        <v>560.5</v>
      </c>
      <c r="G29" s="8">
        <f t="shared" si="3"/>
        <v>3510.5</v>
      </c>
      <c r="H29" s="9" t="s">
        <v>64</v>
      </c>
    </row>
    <row r="30">
      <c r="A30" s="5" t="s">
        <v>65</v>
      </c>
      <c r="B30" s="6">
        <v>1.0</v>
      </c>
      <c r="C30" s="6" t="s">
        <v>10</v>
      </c>
      <c r="D30" s="7">
        <v>2450.0</v>
      </c>
      <c r="E30" s="8">
        <f t="shared" si="1"/>
        <v>2450</v>
      </c>
      <c r="F30" s="8">
        <f t="shared" si="2"/>
        <v>465.5</v>
      </c>
      <c r="G30" s="8">
        <f t="shared" si="3"/>
        <v>2915.5</v>
      </c>
      <c r="H30" s="9" t="s">
        <v>66</v>
      </c>
    </row>
    <row r="31">
      <c r="A31" s="5" t="s">
        <v>67</v>
      </c>
      <c r="B31" s="6">
        <v>1.0</v>
      </c>
      <c r="C31" s="6" t="s">
        <v>10</v>
      </c>
      <c r="D31" s="7">
        <v>2950.0</v>
      </c>
      <c r="E31" s="8">
        <f t="shared" si="1"/>
        <v>2950</v>
      </c>
      <c r="F31" s="8">
        <f t="shared" si="2"/>
        <v>560.5</v>
      </c>
      <c r="G31" s="8">
        <f t="shared" si="3"/>
        <v>3510.5</v>
      </c>
      <c r="H31" s="9" t="s">
        <v>68</v>
      </c>
    </row>
    <row r="32">
      <c r="A32" s="5" t="s">
        <v>69</v>
      </c>
      <c r="B32" s="6">
        <v>1.0</v>
      </c>
      <c r="C32" s="6" t="s">
        <v>10</v>
      </c>
      <c r="D32" s="7">
        <v>3430.0</v>
      </c>
      <c r="E32" s="8">
        <f t="shared" si="1"/>
        <v>3430</v>
      </c>
      <c r="F32" s="8">
        <f t="shared" si="2"/>
        <v>651.7</v>
      </c>
      <c r="G32" s="8">
        <f t="shared" si="3"/>
        <v>4081.7</v>
      </c>
      <c r="H32" s="9" t="s">
        <v>70</v>
      </c>
    </row>
    <row r="33">
      <c r="A33" s="1" t="s">
        <v>71</v>
      </c>
      <c r="B33" s="15"/>
      <c r="C33" s="15"/>
      <c r="D33" s="16"/>
      <c r="E33" s="8">
        <f t="shared" ref="E33:G33" si="4">SUM(E2:E32)</f>
        <v>3839492</v>
      </c>
      <c r="F33" s="8">
        <f t="shared" si="4"/>
        <v>729503.48</v>
      </c>
      <c r="G33" s="8">
        <f t="shared" si="4"/>
        <v>4568995.48</v>
      </c>
      <c r="H33" s="17"/>
    </row>
    <row r="34">
      <c r="D34" s="18"/>
      <c r="H34" s="17"/>
    </row>
    <row r="35">
      <c r="D35" s="18"/>
      <c r="H35" s="17"/>
    </row>
    <row r="36">
      <c r="D36" s="18"/>
      <c r="H36" s="17"/>
    </row>
    <row r="37">
      <c r="D37" s="18"/>
      <c r="H37" s="17"/>
    </row>
    <row r="38">
      <c r="D38" s="18"/>
      <c r="H38" s="17"/>
    </row>
    <row r="39">
      <c r="D39" s="18"/>
      <c r="H39" s="17"/>
    </row>
    <row r="40">
      <c r="D40" s="18"/>
      <c r="H40" s="17"/>
    </row>
    <row r="41">
      <c r="D41" s="18"/>
      <c r="H41" s="17"/>
    </row>
    <row r="42">
      <c r="D42" s="18"/>
      <c r="H42" s="17"/>
    </row>
    <row r="43">
      <c r="D43" s="18"/>
      <c r="H43" s="17"/>
    </row>
    <row r="44">
      <c r="D44" s="18"/>
      <c r="H44" s="17"/>
    </row>
    <row r="45">
      <c r="D45" s="18"/>
      <c r="H45" s="17"/>
    </row>
    <row r="46">
      <c r="D46" s="18"/>
      <c r="H46" s="17"/>
    </row>
    <row r="47">
      <c r="D47" s="18"/>
      <c r="H47" s="17"/>
    </row>
    <row r="48">
      <c r="D48" s="18"/>
      <c r="H48" s="17"/>
    </row>
    <row r="49">
      <c r="D49" s="18"/>
      <c r="H49" s="17"/>
    </row>
    <row r="50">
      <c r="D50" s="18"/>
      <c r="H50" s="17"/>
    </row>
    <row r="51">
      <c r="D51" s="18"/>
      <c r="H51" s="17"/>
    </row>
    <row r="52">
      <c r="D52" s="18"/>
      <c r="H52" s="17"/>
    </row>
    <row r="53">
      <c r="D53" s="18"/>
      <c r="H53" s="17"/>
    </row>
    <row r="54">
      <c r="D54" s="18"/>
      <c r="H54" s="17"/>
    </row>
    <row r="55">
      <c r="D55" s="18"/>
      <c r="H55" s="17"/>
    </row>
    <row r="56">
      <c r="D56" s="18"/>
      <c r="H56" s="17"/>
    </row>
    <row r="57">
      <c r="D57" s="18"/>
      <c r="H57" s="17"/>
    </row>
    <row r="58">
      <c r="D58" s="18"/>
      <c r="H58" s="17"/>
    </row>
    <row r="59">
      <c r="D59" s="18"/>
      <c r="H59" s="17"/>
    </row>
    <row r="60">
      <c r="D60" s="18"/>
      <c r="H60" s="17"/>
    </row>
    <row r="61">
      <c r="D61" s="18"/>
      <c r="H61" s="17"/>
    </row>
    <row r="62">
      <c r="D62" s="18"/>
      <c r="H62" s="17"/>
    </row>
    <row r="63">
      <c r="D63" s="18"/>
      <c r="H63" s="17"/>
    </row>
    <row r="64">
      <c r="D64" s="18"/>
      <c r="H64" s="17"/>
    </row>
    <row r="65">
      <c r="D65" s="18"/>
      <c r="H65" s="17"/>
    </row>
    <row r="66">
      <c r="D66" s="18"/>
      <c r="H66" s="17"/>
    </row>
    <row r="67">
      <c r="D67" s="18"/>
      <c r="H67" s="17"/>
    </row>
    <row r="68">
      <c r="D68" s="18"/>
      <c r="H68" s="17"/>
    </row>
    <row r="69">
      <c r="D69" s="18"/>
      <c r="H69" s="17"/>
    </row>
    <row r="70">
      <c r="D70" s="18"/>
      <c r="H70" s="17"/>
    </row>
    <row r="71">
      <c r="D71" s="18"/>
      <c r="H71" s="17"/>
    </row>
    <row r="72">
      <c r="D72" s="18"/>
      <c r="H72" s="17"/>
    </row>
    <row r="73">
      <c r="D73" s="18"/>
      <c r="H73" s="17"/>
    </row>
    <row r="74">
      <c r="D74" s="18"/>
      <c r="H74" s="17"/>
    </row>
    <row r="75">
      <c r="D75" s="18"/>
      <c r="H75" s="17"/>
    </row>
    <row r="76">
      <c r="D76" s="18"/>
      <c r="H76" s="17"/>
    </row>
    <row r="77">
      <c r="D77" s="18"/>
      <c r="H77" s="17"/>
    </row>
    <row r="78">
      <c r="D78" s="18"/>
      <c r="H78" s="17"/>
    </row>
    <row r="79">
      <c r="D79" s="18"/>
      <c r="H79" s="17"/>
    </row>
    <row r="80">
      <c r="D80" s="18"/>
      <c r="H80" s="17"/>
    </row>
    <row r="81">
      <c r="D81" s="18"/>
      <c r="H81" s="17"/>
    </row>
    <row r="82">
      <c r="D82" s="18"/>
      <c r="H82" s="17"/>
    </row>
    <row r="83">
      <c r="D83" s="18"/>
      <c r="H83" s="17"/>
    </row>
    <row r="84">
      <c r="D84" s="18"/>
      <c r="H84" s="17"/>
    </row>
    <row r="85">
      <c r="D85" s="18"/>
      <c r="H85" s="17"/>
    </row>
    <row r="86">
      <c r="D86" s="18"/>
      <c r="H86" s="17"/>
    </row>
    <row r="87">
      <c r="D87" s="18"/>
      <c r="H87" s="17"/>
    </row>
    <row r="88">
      <c r="D88" s="18"/>
      <c r="H88" s="17"/>
    </row>
    <row r="89">
      <c r="D89" s="18"/>
      <c r="H89" s="17"/>
    </row>
    <row r="90">
      <c r="D90" s="18"/>
      <c r="H90" s="17"/>
    </row>
    <row r="91">
      <c r="D91" s="18"/>
      <c r="H91" s="17"/>
    </row>
    <row r="92">
      <c r="D92" s="18"/>
      <c r="H92" s="17"/>
    </row>
    <row r="93">
      <c r="D93" s="18"/>
      <c r="H93" s="17"/>
    </row>
    <row r="94">
      <c r="D94" s="18"/>
      <c r="H94" s="17"/>
    </row>
    <row r="95">
      <c r="D95" s="18"/>
      <c r="H95" s="17"/>
    </row>
    <row r="96">
      <c r="D96" s="18"/>
      <c r="H96" s="17"/>
    </row>
    <row r="97">
      <c r="D97" s="18"/>
      <c r="H97" s="17"/>
    </row>
    <row r="98">
      <c r="D98" s="18"/>
      <c r="H98" s="17"/>
    </row>
    <row r="99">
      <c r="D99" s="18"/>
      <c r="H99" s="17"/>
    </row>
    <row r="100">
      <c r="D100" s="18"/>
      <c r="H100" s="17"/>
    </row>
    <row r="101">
      <c r="D101" s="18"/>
      <c r="H101" s="17"/>
    </row>
    <row r="102">
      <c r="D102" s="18"/>
      <c r="H102" s="17"/>
    </row>
    <row r="103">
      <c r="D103" s="18"/>
      <c r="H103" s="17"/>
    </row>
    <row r="104">
      <c r="D104" s="18"/>
      <c r="H104" s="17"/>
    </row>
    <row r="105">
      <c r="D105" s="18"/>
      <c r="H105" s="17"/>
    </row>
    <row r="106">
      <c r="D106" s="18"/>
      <c r="H106" s="17"/>
    </row>
    <row r="107">
      <c r="D107" s="18"/>
      <c r="H107" s="17"/>
    </row>
    <row r="108">
      <c r="D108" s="18"/>
      <c r="H108" s="17"/>
    </row>
    <row r="109">
      <c r="D109" s="18"/>
      <c r="H109" s="17"/>
    </row>
    <row r="110">
      <c r="D110" s="18"/>
      <c r="H110" s="17"/>
    </row>
    <row r="111">
      <c r="D111" s="18"/>
      <c r="H111" s="17"/>
    </row>
    <row r="112">
      <c r="D112" s="18"/>
      <c r="H112" s="17"/>
    </row>
    <row r="113">
      <c r="D113" s="18"/>
      <c r="H113" s="17"/>
    </row>
    <row r="114">
      <c r="D114" s="18"/>
      <c r="H114" s="17"/>
    </row>
    <row r="115">
      <c r="D115" s="18"/>
      <c r="H115" s="17"/>
    </row>
    <row r="116">
      <c r="D116" s="18"/>
      <c r="H116" s="17"/>
    </row>
    <row r="117">
      <c r="D117" s="18"/>
      <c r="H117" s="17"/>
    </row>
    <row r="118">
      <c r="D118" s="18"/>
      <c r="H118" s="17"/>
    </row>
    <row r="119">
      <c r="D119" s="18"/>
      <c r="H119" s="17"/>
    </row>
    <row r="120">
      <c r="D120" s="18"/>
      <c r="H120" s="17"/>
    </row>
    <row r="121">
      <c r="D121" s="18"/>
      <c r="H121" s="17"/>
    </row>
    <row r="122">
      <c r="D122" s="18"/>
      <c r="H122" s="17"/>
    </row>
    <row r="123">
      <c r="D123" s="18"/>
      <c r="H123" s="17"/>
    </row>
    <row r="124">
      <c r="D124" s="18"/>
      <c r="H124" s="17"/>
    </row>
    <row r="125">
      <c r="D125" s="18"/>
      <c r="H125" s="17"/>
    </row>
    <row r="126">
      <c r="D126" s="18"/>
      <c r="H126" s="17"/>
    </row>
    <row r="127">
      <c r="D127" s="18"/>
      <c r="H127" s="17"/>
    </row>
    <row r="128">
      <c r="D128" s="18"/>
      <c r="H128" s="17"/>
    </row>
    <row r="129">
      <c r="D129" s="18"/>
      <c r="H129" s="17"/>
    </row>
    <row r="130">
      <c r="D130" s="18"/>
      <c r="H130" s="17"/>
    </row>
    <row r="131">
      <c r="D131" s="18"/>
      <c r="H131" s="17"/>
    </row>
    <row r="132">
      <c r="D132" s="18"/>
      <c r="H132" s="17"/>
    </row>
    <row r="133">
      <c r="D133" s="18"/>
      <c r="H133" s="17"/>
    </row>
    <row r="134">
      <c r="D134" s="18"/>
      <c r="H134" s="17"/>
    </row>
    <row r="135">
      <c r="D135" s="18"/>
      <c r="H135" s="17"/>
    </row>
    <row r="136">
      <c r="D136" s="18"/>
      <c r="H136" s="17"/>
    </row>
    <row r="137">
      <c r="D137" s="18"/>
      <c r="H137" s="17"/>
    </row>
    <row r="138">
      <c r="D138" s="18"/>
      <c r="H138" s="17"/>
    </row>
    <row r="139">
      <c r="D139" s="18"/>
      <c r="H139" s="17"/>
    </row>
    <row r="140">
      <c r="D140" s="18"/>
      <c r="H140" s="17"/>
    </row>
    <row r="141">
      <c r="D141" s="18"/>
      <c r="H141" s="17"/>
    </row>
    <row r="142">
      <c r="D142" s="18"/>
      <c r="H142" s="17"/>
    </row>
    <row r="143">
      <c r="D143" s="18"/>
      <c r="H143" s="17"/>
    </row>
    <row r="144">
      <c r="D144" s="18"/>
      <c r="H144" s="17"/>
    </row>
    <row r="145">
      <c r="D145" s="18"/>
      <c r="H145" s="17"/>
    </row>
    <row r="146">
      <c r="D146" s="18"/>
      <c r="H146" s="17"/>
    </row>
    <row r="147">
      <c r="D147" s="18"/>
      <c r="H147" s="17"/>
    </row>
    <row r="148">
      <c r="D148" s="18"/>
      <c r="H148" s="17"/>
    </row>
    <row r="149">
      <c r="D149" s="18"/>
      <c r="H149" s="17"/>
    </row>
    <row r="150">
      <c r="D150" s="18"/>
      <c r="H150" s="17"/>
    </row>
    <row r="151">
      <c r="D151" s="18"/>
      <c r="H151" s="17"/>
    </row>
    <row r="152">
      <c r="D152" s="18"/>
      <c r="H152" s="17"/>
    </row>
    <row r="153">
      <c r="D153" s="18"/>
      <c r="H153" s="17"/>
    </row>
    <row r="154">
      <c r="D154" s="18"/>
      <c r="H154" s="17"/>
    </row>
    <row r="155">
      <c r="D155" s="18"/>
      <c r="H155" s="17"/>
    </row>
    <row r="156">
      <c r="D156" s="18"/>
      <c r="H156" s="17"/>
    </row>
    <row r="157">
      <c r="D157" s="18"/>
      <c r="H157" s="17"/>
    </row>
    <row r="158">
      <c r="D158" s="18"/>
      <c r="H158" s="17"/>
    </row>
    <row r="159">
      <c r="D159" s="18"/>
      <c r="H159" s="17"/>
    </row>
    <row r="160">
      <c r="D160" s="18"/>
      <c r="H160" s="17"/>
    </row>
    <row r="161">
      <c r="D161" s="18"/>
      <c r="H161" s="17"/>
    </row>
    <row r="162">
      <c r="D162" s="18"/>
      <c r="H162" s="17"/>
    </row>
    <row r="163">
      <c r="D163" s="18"/>
      <c r="H163" s="17"/>
    </row>
    <row r="164">
      <c r="D164" s="18"/>
      <c r="H164" s="17"/>
    </row>
    <row r="165">
      <c r="D165" s="18"/>
      <c r="H165" s="17"/>
    </row>
    <row r="166">
      <c r="D166" s="18"/>
      <c r="H166" s="17"/>
    </row>
    <row r="167">
      <c r="D167" s="18"/>
      <c r="H167" s="17"/>
    </row>
    <row r="168">
      <c r="D168" s="18"/>
      <c r="H168" s="17"/>
    </row>
    <row r="169">
      <c r="D169" s="18"/>
      <c r="H169" s="17"/>
    </row>
    <row r="170">
      <c r="D170" s="18"/>
      <c r="H170" s="17"/>
    </row>
    <row r="171">
      <c r="D171" s="18"/>
      <c r="H171" s="17"/>
    </row>
    <row r="172">
      <c r="D172" s="18"/>
      <c r="H172" s="17"/>
    </row>
    <row r="173">
      <c r="D173" s="18"/>
      <c r="H173" s="17"/>
    </row>
    <row r="174">
      <c r="D174" s="18"/>
      <c r="H174" s="17"/>
    </row>
    <row r="175">
      <c r="D175" s="18"/>
      <c r="H175" s="17"/>
    </row>
    <row r="176">
      <c r="D176" s="18"/>
      <c r="H176" s="17"/>
    </row>
    <row r="177">
      <c r="D177" s="18"/>
      <c r="H177" s="17"/>
    </row>
    <row r="178">
      <c r="D178" s="18"/>
      <c r="H178" s="17"/>
    </row>
    <row r="179">
      <c r="D179" s="18"/>
      <c r="H179" s="17"/>
    </row>
    <row r="180">
      <c r="D180" s="18"/>
      <c r="H180" s="17"/>
    </row>
    <row r="181">
      <c r="D181" s="18"/>
      <c r="H181" s="17"/>
    </row>
    <row r="182">
      <c r="D182" s="18"/>
      <c r="H182" s="17"/>
    </row>
    <row r="183">
      <c r="D183" s="18"/>
      <c r="H183" s="17"/>
    </row>
    <row r="184">
      <c r="D184" s="18"/>
      <c r="H184" s="17"/>
    </row>
    <row r="185">
      <c r="D185" s="18"/>
      <c r="H185" s="17"/>
    </row>
    <row r="186">
      <c r="D186" s="18"/>
      <c r="H186" s="17"/>
    </row>
    <row r="187">
      <c r="D187" s="18"/>
      <c r="H187" s="17"/>
    </row>
    <row r="188">
      <c r="D188" s="18"/>
      <c r="H188" s="17"/>
    </row>
    <row r="189">
      <c r="D189" s="18"/>
      <c r="H189" s="17"/>
    </row>
    <row r="190">
      <c r="D190" s="18"/>
      <c r="H190" s="17"/>
    </row>
    <row r="191">
      <c r="D191" s="18"/>
      <c r="H191" s="17"/>
    </row>
    <row r="192">
      <c r="D192" s="18"/>
      <c r="H192" s="17"/>
    </row>
    <row r="193">
      <c r="D193" s="18"/>
      <c r="H193" s="17"/>
    </row>
    <row r="194">
      <c r="D194" s="18"/>
      <c r="H194" s="17"/>
    </row>
    <row r="195">
      <c r="D195" s="18"/>
      <c r="H195" s="17"/>
    </row>
    <row r="196">
      <c r="D196" s="18"/>
      <c r="H196" s="17"/>
    </row>
    <row r="197">
      <c r="D197" s="18"/>
      <c r="H197" s="17"/>
    </row>
    <row r="198">
      <c r="D198" s="18"/>
      <c r="H198" s="17"/>
    </row>
    <row r="199">
      <c r="D199" s="18"/>
      <c r="H199" s="17"/>
    </row>
    <row r="200">
      <c r="D200" s="18"/>
      <c r="H200" s="17"/>
    </row>
    <row r="201">
      <c r="D201" s="18"/>
      <c r="H201" s="17"/>
    </row>
    <row r="202">
      <c r="D202" s="18"/>
      <c r="H202" s="17"/>
    </row>
    <row r="203">
      <c r="D203" s="18"/>
      <c r="H203" s="17"/>
    </row>
    <row r="204">
      <c r="D204" s="18"/>
      <c r="H204" s="17"/>
    </row>
    <row r="205">
      <c r="D205" s="18"/>
      <c r="H205" s="17"/>
    </row>
    <row r="206">
      <c r="D206" s="18"/>
      <c r="H206" s="17"/>
    </row>
    <row r="207">
      <c r="D207" s="18"/>
      <c r="H207" s="17"/>
    </row>
    <row r="208">
      <c r="D208" s="18"/>
      <c r="H208" s="17"/>
    </row>
    <row r="209">
      <c r="D209" s="18"/>
      <c r="H209" s="17"/>
    </row>
    <row r="210">
      <c r="D210" s="18"/>
      <c r="H210" s="17"/>
    </row>
    <row r="211">
      <c r="D211" s="18"/>
      <c r="H211" s="17"/>
    </row>
    <row r="212">
      <c r="D212" s="18"/>
      <c r="H212" s="17"/>
    </row>
    <row r="213">
      <c r="D213" s="18"/>
      <c r="H213" s="17"/>
    </row>
    <row r="214">
      <c r="D214" s="18"/>
      <c r="H214" s="17"/>
    </row>
    <row r="215">
      <c r="D215" s="18"/>
      <c r="H215" s="17"/>
    </row>
    <row r="216">
      <c r="D216" s="18"/>
      <c r="H216" s="17"/>
    </row>
    <row r="217">
      <c r="D217" s="18"/>
      <c r="H217" s="17"/>
    </row>
    <row r="218">
      <c r="D218" s="18"/>
      <c r="H218" s="17"/>
    </row>
    <row r="219">
      <c r="D219" s="18"/>
      <c r="H219" s="17"/>
    </row>
    <row r="220">
      <c r="D220" s="18"/>
      <c r="H220" s="17"/>
    </row>
    <row r="221">
      <c r="D221" s="18"/>
      <c r="H221" s="17"/>
    </row>
    <row r="222">
      <c r="D222" s="18"/>
      <c r="H222" s="17"/>
    </row>
    <row r="223">
      <c r="D223" s="18"/>
      <c r="H223" s="17"/>
    </row>
    <row r="224">
      <c r="D224" s="18"/>
      <c r="H224" s="17"/>
    </row>
    <row r="225">
      <c r="D225" s="18"/>
      <c r="H225" s="17"/>
    </row>
    <row r="226">
      <c r="D226" s="18"/>
      <c r="H226" s="17"/>
    </row>
    <row r="227">
      <c r="D227" s="18"/>
      <c r="H227" s="17"/>
    </row>
    <row r="228">
      <c r="D228" s="18"/>
      <c r="H228" s="17"/>
    </row>
    <row r="229">
      <c r="D229" s="18"/>
      <c r="H229" s="17"/>
    </row>
    <row r="230">
      <c r="D230" s="18"/>
      <c r="H230" s="17"/>
    </row>
    <row r="231">
      <c r="D231" s="18"/>
      <c r="H231" s="17"/>
    </row>
    <row r="232">
      <c r="D232" s="18"/>
      <c r="H232" s="17"/>
    </row>
    <row r="233">
      <c r="D233" s="18"/>
      <c r="H233" s="17"/>
    </row>
    <row r="234">
      <c r="D234" s="18"/>
      <c r="H234" s="17"/>
    </row>
    <row r="235">
      <c r="D235" s="18"/>
      <c r="H235" s="17"/>
    </row>
    <row r="236">
      <c r="D236" s="18"/>
      <c r="H236" s="17"/>
    </row>
    <row r="237">
      <c r="D237" s="18"/>
      <c r="H237" s="17"/>
    </row>
    <row r="238">
      <c r="D238" s="18"/>
      <c r="H238" s="17"/>
    </row>
    <row r="239">
      <c r="D239" s="18"/>
      <c r="H239" s="17"/>
    </row>
    <row r="240">
      <c r="D240" s="18"/>
      <c r="H240" s="17"/>
    </row>
    <row r="241">
      <c r="D241" s="18"/>
      <c r="H241" s="17"/>
    </row>
    <row r="242">
      <c r="D242" s="18"/>
      <c r="H242" s="17"/>
    </row>
    <row r="243">
      <c r="D243" s="18"/>
      <c r="H243" s="17"/>
    </row>
    <row r="244">
      <c r="D244" s="18"/>
      <c r="H244" s="17"/>
    </row>
    <row r="245">
      <c r="D245" s="18"/>
      <c r="H245" s="17"/>
    </row>
    <row r="246">
      <c r="D246" s="18"/>
      <c r="H246" s="17"/>
    </row>
    <row r="247">
      <c r="D247" s="18"/>
      <c r="H247" s="17"/>
    </row>
    <row r="248">
      <c r="D248" s="18"/>
      <c r="H248" s="17"/>
    </row>
    <row r="249">
      <c r="D249" s="18"/>
      <c r="H249" s="17"/>
    </row>
    <row r="250">
      <c r="D250" s="18"/>
      <c r="H250" s="17"/>
    </row>
    <row r="251">
      <c r="D251" s="18"/>
      <c r="H251" s="17"/>
    </row>
    <row r="252">
      <c r="D252" s="18"/>
      <c r="H252" s="17"/>
    </row>
    <row r="253">
      <c r="D253" s="18"/>
      <c r="H253" s="17"/>
    </row>
    <row r="254">
      <c r="D254" s="18"/>
      <c r="H254" s="17"/>
    </row>
    <row r="255">
      <c r="D255" s="18"/>
      <c r="H255" s="17"/>
    </row>
    <row r="256">
      <c r="D256" s="18"/>
      <c r="H256" s="17"/>
    </row>
    <row r="257">
      <c r="D257" s="18"/>
      <c r="H257" s="17"/>
    </row>
    <row r="258">
      <c r="D258" s="18"/>
      <c r="H258" s="17"/>
    </row>
    <row r="259">
      <c r="D259" s="18"/>
      <c r="H259" s="17"/>
    </row>
    <row r="260">
      <c r="D260" s="18"/>
      <c r="H260" s="17"/>
    </row>
    <row r="261">
      <c r="D261" s="18"/>
      <c r="H261" s="17"/>
    </row>
    <row r="262">
      <c r="D262" s="18"/>
      <c r="H262" s="17"/>
    </row>
    <row r="263">
      <c r="D263" s="18"/>
      <c r="H263" s="17"/>
    </row>
    <row r="264">
      <c r="D264" s="18"/>
      <c r="H264" s="17"/>
    </row>
    <row r="265">
      <c r="D265" s="18"/>
      <c r="H265" s="17"/>
    </row>
    <row r="266">
      <c r="D266" s="18"/>
      <c r="H266" s="17"/>
    </row>
    <row r="267">
      <c r="D267" s="18"/>
      <c r="H267" s="17"/>
    </row>
    <row r="268">
      <c r="D268" s="18"/>
      <c r="H268" s="17"/>
    </row>
    <row r="269">
      <c r="D269" s="18"/>
      <c r="H269" s="17"/>
    </row>
    <row r="270">
      <c r="D270" s="18"/>
      <c r="H270" s="17"/>
    </row>
    <row r="271">
      <c r="D271" s="18"/>
      <c r="H271" s="17"/>
    </row>
    <row r="272">
      <c r="D272" s="18"/>
      <c r="H272" s="17"/>
    </row>
    <row r="273">
      <c r="D273" s="18"/>
      <c r="H273" s="17"/>
    </row>
    <row r="274">
      <c r="D274" s="18"/>
      <c r="H274" s="17"/>
    </row>
    <row r="275">
      <c r="D275" s="18"/>
      <c r="H275" s="17"/>
    </row>
    <row r="276">
      <c r="D276" s="18"/>
      <c r="H276" s="17"/>
    </row>
    <row r="277">
      <c r="D277" s="18"/>
      <c r="H277" s="17"/>
    </row>
    <row r="278">
      <c r="D278" s="18"/>
      <c r="H278" s="17"/>
    </row>
    <row r="279">
      <c r="D279" s="18"/>
      <c r="H279" s="17"/>
    </row>
    <row r="280">
      <c r="D280" s="18"/>
      <c r="H280" s="17"/>
    </row>
    <row r="281">
      <c r="D281" s="18"/>
      <c r="H281" s="17"/>
    </row>
    <row r="282">
      <c r="D282" s="18"/>
      <c r="H282" s="17"/>
    </row>
    <row r="283">
      <c r="D283" s="18"/>
      <c r="H283" s="17"/>
    </row>
    <row r="284">
      <c r="D284" s="18"/>
      <c r="H284" s="17"/>
    </row>
    <row r="285">
      <c r="D285" s="18"/>
      <c r="H285" s="17"/>
    </row>
    <row r="286">
      <c r="D286" s="18"/>
      <c r="H286" s="17"/>
    </row>
    <row r="287">
      <c r="D287" s="18"/>
      <c r="H287" s="17"/>
    </row>
    <row r="288">
      <c r="D288" s="18"/>
      <c r="H288" s="17"/>
    </row>
    <row r="289">
      <c r="D289" s="18"/>
      <c r="H289" s="17"/>
    </row>
    <row r="290">
      <c r="D290" s="18"/>
      <c r="H290" s="17"/>
    </row>
    <row r="291">
      <c r="D291" s="18"/>
      <c r="H291" s="17"/>
    </row>
    <row r="292">
      <c r="D292" s="18"/>
      <c r="H292" s="17"/>
    </row>
    <row r="293">
      <c r="D293" s="18"/>
      <c r="H293" s="17"/>
    </row>
    <row r="294">
      <c r="D294" s="18"/>
      <c r="H294" s="17"/>
    </row>
    <row r="295">
      <c r="D295" s="18"/>
      <c r="H295" s="17"/>
    </row>
    <row r="296">
      <c r="D296" s="18"/>
      <c r="H296" s="17"/>
    </row>
    <row r="297">
      <c r="D297" s="18"/>
      <c r="H297" s="17"/>
    </row>
    <row r="298">
      <c r="D298" s="18"/>
      <c r="H298" s="17"/>
    </row>
    <row r="299">
      <c r="D299" s="18"/>
      <c r="H299" s="17"/>
    </row>
    <row r="300">
      <c r="D300" s="18"/>
      <c r="H300" s="17"/>
    </row>
    <row r="301">
      <c r="D301" s="18"/>
      <c r="H301" s="17"/>
    </row>
    <row r="302">
      <c r="D302" s="18"/>
      <c r="H302" s="17"/>
    </row>
    <row r="303">
      <c r="D303" s="18"/>
      <c r="H303" s="17"/>
    </row>
    <row r="304">
      <c r="D304" s="18"/>
      <c r="H304" s="17"/>
    </row>
    <row r="305">
      <c r="D305" s="18"/>
      <c r="H305" s="17"/>
    </row>
    <row r="306">
      <c r="D306" s="18"/>
      <c r="H306" s="17"/>
    </row>
    <row r="307">
      <c r="D307" s="18"/>
      <c r="H307" s="17"/>
    </row>
    <row r="308">
      <c r="D308" s="18"/>
      <c r="H308" s="17"/>
    </row>
    <row r="309">
      <c r="D309" s="18"/>
      <c r="H309" s="17"/>
    </row>
    <row r="310">
      <c r="D310" s="18"/>
      <c r="H310" s="17"/>
    </row>
    <row r="311">
      <c r="D311" s="18"/>
      <c r="H311" s="17"/>
    </row>
    <row r="312">
      <c r="D312" s="18"/>
      <c r="H312" s="17"/>
    </row>
    <row r="313">
      <c r="D313" s="18"/>
      <c r="H313" s="17"/>
    </row>
    <row r="314">
      <c r="D314" s="18"/>
      <c r="H314" s="17"/>
    </row>
    <row r="315">
      <c r="D315" s="18"/>
      <c r="H315" s="17"/>
    </row>
    <row r="316">
      <c r="D316" s="18"/>
      <c r="H316" s="17"/>
    </row>
    <row r="317">
      <c r="D317" s="18"/>
      <c r="H317" s="17"/>
    </row>
    <row r="318">
      <c r="D318" s="18"/>
      <c r="H318" s="17"/>
    </row>
    <row r="319">
      <c r="D319" s="18"/>
      <c r="H319" s="17"/>
    </row>
    <row r="320">
      <c r="D320" s="18"/>
      <c r="H320" s="17"/>
    </row>
    <row r="321">
      <c r="D321" s="18"/>
      <c r="H321" s="17"/>
    </row>
    <row r="322">
      <c r="D322" s="18"/>
      <c r="H322" s="17"/>
    </row>
    <row r="323">
      <c r="D323" s="18"/>
      <c r="H323" s="17"/>
    </row>
    <row r="324">
      <c r="D324" s="18"/>
      <c r="H324" s="17"/>
    </row>
    <row r="325">
      <c r="D325" s="18"/>
      <c r="H325" s="17"/>
    </row>
    <row r="326">
      <c r="D326" s="18"/>
      <c r="H326" s="17"/>
    </row>
    <row r="327">
      <c r="D327" s="18"/>
      <c r="H327" s="17"/>
    </row>
    <row r="328">
      <c r="D328" s="18"/>
      <c r="H328" s="17"/>
    </row>
    <row r="329">
      <c r="D329" s="18"/>
      <c r="H329" s="17"/>
    </row>
    <row r="330">
      <c r="D330" s="18"/>
      <c r="H330" s="17"/>
    </row>
    <row r="331">
      <c r="D331" s="18"/>
      <c r="H331" s="17"/>
    </row>
    <row r="332">
      <c r="D332" s="18"/>
      <c r="H332" s="17"/>
    </row>
    <row r="333">
      <c r="D333" s="18"/>
      <c r="H333" s="17"/>
    </row>
    <row r="334">
      <c r="D334" s="18"/>
      <c r="H334" s="17"/>
    </row>
    <row r="335">
      <c r="D335" s="18"/>
      <c r="H335" s="17"/>
    </row>
    <row r="336">
      <c r="D336" s="18"/>
      <c r="H336" s="17"/>
    </row>
    <row r="337">
      <c r="D337" s="18"/>
      <c r="H337" s="17"/>
    </row>
    <row r="338">
      <c r="D338" s="18"/>
      <c r="H338" s="17"/>
    </row>
    <row r="339">
      <c r="D339" s="18"/>
      <c r="H339" s="17"/>
    </row>
    <row r="340">
      <c r="D340" s="18"/>
      <c r="H340" s="17"/>
    </row>
    <row r="341">
      <c r="D341" s="18"/>
      <c r="H341" s="17"/>
    </row>
    <row r="342">
      <c r="D342" s="18"/>
      <c r="H342" s="17"/>
    </row>
    <row r="343">
      <c r="D343" s="18"/>
      <c r="H343" s="17"/>
    </row>
    <row r="344">
      <c r="D344" s="18"/>
      <c r="H344" s="17"/>
    </row>
    <row r="345">
      <c r="D345" s="18"/>
      <c r="H345" s="17"/>
    </row>
    <row r="346">
      <c r="D346" s="18"/>
      <c r="H346" s="17"/>
    </row>
    <row r="347">
      <c r="D347" s="18"/>
      <c r="H347" s="17"/>
    </row>
    <row r="348">
      <c r="D348" s="18"/>
      <c r="H348" s="17"/>
    </row>
    <row r="349">
      <c r="D349" s="18"/>
      <c r="H349" s="17"/>
    </row>
    <row r="350">
      <c r="D350" s="18"/>
      <c r="H350" s="17"/>
    </row>
    <row r="351">
      <c r="D351" s="18"/>
      <c r="H351" s="17"/>
    </row>
    <row r="352">
      <c r="D352" s="18"/>
      <c r="H352" s="17"/>
    </row>
    <row r="353">
      <c r="D353" s="18"/>
      <c r="H353" s="17"/>
    </row>
    <row r="354">
      <c r="D354" s="18"/>
      <c r="H354" s="17"/>
    </row>
    <row r="355">
      <c r="D355" s="18"/>
      <c r="H355" s="17"/>
    </row>
    <row r="356">
      <c r="D356" s="18"/>
      <c r="H356" s="17"/>
    </row>
    <row r="357">
      <c r="D357" s="18"/>
      <c r="H357" s="17"/>
    </row>
    <row r="358">
      <c r="D358" s="18"/>
      <c r="H358" s="17"/>
    </row>
    <row r="359">
      <c r="D359" s="18"/>
      <c r="H359" s="17"/>
    </row>
    <row r="360">
      <c r="D360" s="18"/>
      <c r="H360" s="17"/>
    </row>
    <row r="361">
      <c r="D361" s="18"/>
      <c r="H361" s="17"/>
    </row>
    <row r="362">
      <c r="D362" s="18"/>
      <c r="H362" s="17"/>
    </row>
    <row r="363">
      <c r="D363" s="18"/>
      <c r="H363" s="17"/>
    </row>
    <row r="364">
      <c r="D364" s="18"/>
      <c r="H364" s="17"/>
    </row>
    <row r="365">
      <c r="D365" s="18"/>
      <c r="H365" s="17"/>
    </row>
    <row r="366">
      <c r="D366" s="18"/>
      <c r="H366" s="17"/>
    </row>
    <row r="367">
      <c r="D367" s="18"/>
      <c r="H367" s="17"/>
    </row>
    <row r="368">
      <c r="D368" s="18"/>
      <c r="H368" s="17"/>
    </row>
    <row r="369">
      <c r="D369" s="18"/>
      <c r="H369" s="17"/>
    </row>
    <row r="370">
      <c r="D370" s="18"/>
      <c r="H370" s="17"/>
    </row>
    <row r="371">
      <c r="D371" s="18"/>
      <c r="H371" s="17"/>
    </row>
    <row r="372">
      <c r="D372" s="18"/>
      <c r="H372" s="17"/>
    </row>
    <row r="373">
      <c r="D373" s="18"/>
      <c r="H373" s="17"/>
    </row>
    <row r="374">
      <c r="D374" s="18"/>
      <c r="H374" s="17"/>
    </row>
    <row r="375">
      <c r="D375" s="18"/>
      <c r="H375" s="17"/>
    </row>
    <row r="376">
      <c r="D376" s="18"/>
      <c r="H376" s="17"/>
    </row>
    <row r="377">
      <c r="D377" s="18"/>
      <c r="H377" s="17"/>
    </row>
    <row r="378">
      <c r="D378" s="18"/>
      <c r="H378" s="17"/>
    </row>
    <row r="379">
      <c r="D379" s="18"/>
      <c r="H379" s="17"/>
    </row>
    <row r="380">
      <c r="D380" s="18"/>
      <c r="H380" s="17"/>
    </row>
    <row r="381">
      <c r="D381" s="18"/>
      <c r="H381" s="17"/>
    </row>
    <row r="382">
      <c r="D382" s="18"/>
      <c r="H382" s="17"/>
    </row>
    <row r="383">
      <c r="D383" s="18"/>
      <c r="H383" s="17"/>
    </row>
    <row r="384">
      <c r="D384" s="18"/>
      <c r="H384" s="17"/>
    </row>
    <row r="385">
      <c r="D385" s="18"/>
      <c r="H385" s="17"/>
    </row>
    <row r="386">
      <c r="D386" s="18"/>
      <c r="H386" s="17"/>
    </row>
    <row r="387">
      <c r="D387" s="18"/>
      <c r="H387" s="17"/>
    </row>
    <row r="388">
      <c r="D388" s="18"/>
      <c r="H388" s="17"/>
    </row>
    <row r="389">
      <c r="D389" s="18"/>
      <c r="H389" s="17"/>
    </row>
    <row r="390">
      <c r="D390" s="18"/>
      <c r="H390" s="17"/>
    </row>
    <row r="391">
      <c r="D391" s="18"/>
      <c r="H391" s="17"/>
    </row>
    <row r="392">
      <c r="D392" s="18"/>
      <c r="H392" s="17"/>
    </row>
    <row r="393">
      <c r="D393" s="18"/>
      <c r="H393" s="17"/>
    </row>
    <row r="394">
      <c r="D394" s="18"/>
      <c r="H394" s="17"/>
    </row>
    <row r="395">
      <c r="D395" s="18"/>
      <c r="H395" s="17"/>
    </row>
    <row r="396">
      <c r="D396" s="18"/>
      <c r="H396" s="17"/>
    </row>
    <row r="397">
      <c r="D397" s="18"/>
      <c r="H397" s="17"/>
    </row>
    <row r="398">
      <c r="D398" s="18"/>
      <c r="H398" s="17"/>
    </row>
    <row r="399">
      <c r="D399" s="18"/>
      <c r="H399" s="17"/>
    </row>
    <row r="400">
      <c r="D400" s="18"/>
      <c r="H400" s="17"/>
    </row>
    <row r="401">
      <c r="D401" s="18"/>
      <c r="H401" s="17"/>
    </row>
    <row r="402">
      <c r="D402" s="18"/>
      <c r="H402" s="17"/>
    </row>
    <row r="403">
      <c r="D403" s="18"/>
      <c r="H403" s="17"/>
    </row>
    <row r="404">
      <c r="D404" s="18"/>
      <c r="H404" s="17"/>
    </row>
    <row r="405">
      <c r="D405" s="18"/>
      <c r="H405" s="17"/>
    </row>
    <row r="406">
      <c r="D406" s="18"/>
      <c r="H406" s="17"/>
    </row>
    <row r="407">
      <c r="D407" s="18"/>
      <c r="H407" s="17"/>
    </row>
    <row r="408">
      <c r="D408" s="18"/>
      <c r="H408" s="17"/>
    </row>
    <row r="409">
      <c r="D409" s="18"/>
      <c r="H409" s="17"/>
    </row>
    <row r="410">
      <c r="D410" s="18"/>
      <c r="H410" s="17"/>
    </row>
    <row r="411">
      <c r="D411" s="18"/>
      <c r="H411" s="17"/>
    </row>
    <row r="412">
      <c r="D412" s="18"/>
      <c r="H412" s="17"/>
    </row>
    <row r="413">
      <c r="D413" s="18"/>
      <c r="H413" s="17"/>
    </row>
    <row r="414">
      <c r="D414" s="18"/>
      <c r="H414" s="17"/>
    </row>
    <row r="415">
      <c r="D415" s="18"/>
      <c r="H415" s="17"/>
    </row>
    <row r="416">
      <c r="D416" s="18"/>
      <c r="H416" s="17"/>
    </row>
    <row r="417">
      <c r="D417" s="18"/>
      <c r="H417" s="17"/>
    </row>
    <row r="418">
      <c r="D418" s="18"/>
      <c r="H418" s="17"/>
    </row>
    <row r="419">
      <c r="D419" s="18"/>
      <c r="H419" s="17"/>
    </row>
    <row r="420">
      <c r="D420" s="18"/>
      <c r="H420" s="17"/>
    </row>
    <row r="421">
      <c r="D421" s="18"/>
      <c r="H421" s="17"/>
    </row>
    <row r="422">
      <c r="D422" s="18"/>
      <c r="H422" s="17"/>
    </row>
    <row r="423">
      <c r="D423" s="18"/>
      <c r="H423" s="17"/>
    </row>
    <row r="424">
      <c r="D424" s="18"/>
      <c r="H424" s="17"/>
    </row>
    <row r="425">
      <c r="D425" s="18"/>
      <c r="H425" s="17"/>
    </row>
    <row r="426">
      <c r="D426" s="18"/>
      <c r="H426" s="17"/>
    </row>
    <row r="427">
      <c r="D427" s="18"/>
      <c r="H427" s="17"/>
    </row>
    <row r="428">
      <c r="D428" s="18"/>
      <c r="H428" s="17"/>
    </row>
    <row r="429">
      <c r="D429" s="18"/>
      <c r="H429" s="17"/>
    </row>
    <row r="430">
      <c r="D430" s="18"/>
      <c r="H430" s="17"/>
    </row>
    <row r="431">
      <c r="D431" s="18"/>
      <c r="H431" s="17"/>
    </row>
    <row r="432">
      <c r="D432" s="18"/>
      <c r="H432" s="17"/>
    </row>
    <row r="433">
      <c r="D433" s="18"/>
      <c r="H433" s="17"/>
    </row>
    <row r="434">
      <c r="D434" s="18"/>
      <c r="H434" s="17"/>
    </row>
    <row r="435">
      <c r="D435" s="18"/>
      <c r="H435" s="17"/>
    </row>
    <row r="436">
      <c r="D436" s="18"/>
      <c r="H436" s="17"/>
    </row>
    <row r="437">
      <c r="D437" s="18"/>
      <c r="H437" s="17"/>
    </row>
    <row r="438">
      <c r="D438" s="18"/>
      <c r="H438" s="17"/>
    </row>
    <row r="439">
      <c r="D439" s="18"/>
      <c r="H439" s="17"/>
    </row>
    <row r="440">
      <c r="D440" s="18"/>
      <c r="H440" s="17"/>
    </row>
    <row r="441">
      <c r="D441" s="18"/>
      <c r="H441" s="17"/>
    </row>
    <row r="442">
      <c r="D442" s="18"/>
      <c r="H442" s="17"/>
    </row>
    <row r="443">
      <c r="D443" s="18"/>
      <c r="H443" s="17"/>
    </row>
    <row r="444">
      <c r="D444" s="18"/>
      <c r="H444" s="17"/>
    </row>
    <row r="445">
      <c r="D445" s="18"/>
      <c r="H445" s="17"/>
    </row>
    <row r="446">
      <c r="D446" s="18"/>
      <c r="H446" s="17"/>
    </row>
    <row r="447">
      <c r="D447" s="18"/>
      <c r="H447" s="17"/>
    </row>
    <row r="448">
      <c r="D448" s="18"/>
      <c r="H448" s="17"/>
    </row>
    <row r="449">
      <c r="D449" s="18"/>
      <c r="H449" s="17"/>
    </row>
    <row r="450">
      <c r="D450" s="18"/>
      <c r="H450" s="17"/>
    </row>
    <row r="451">
      <c r="D451" s="18"/>
      <c r="H451" s="17"/>
    </row>
    <row r="452">
      <c r="D452" s="18"/>
      <c r="H452" s="17"/>
    </row>
    <row r="453">
      <c r="D453" s="18"/>
      <c r="H453" s="17"/>
    </row>
    <row r="454">
      <c r="D454" s="18"/>
      <c r="H454" s="17"/>
    </row>
    <row r="455">
      <c r="D455" s="18"/>
      <c r="H455" s="17"/>
    </row>
    <row r="456">
      <c r="D456" s="18"/>
      <c r="H456" s="17"/>
    </row>
    <row r="457">
      <c r="D457" s="18"/>
      <c r="H457" s="17"/>
    </row>
    <row r="458">
      <c r="D458" s="18"/>
      <c r="H458" s="17"/>
    </row>
    <row r="459">
      <c r="D459" s="18"/>
      <c r="H459" s="17"/>
    </row>
    <row r="460">
      <c r="D460" s="18"/>
      <c r="H460" s="17"/>
    </row>
    <row r="461">
      <c r="D461" s="18"/>
      <c r="H461" s="17"/>
    </row>
    <row r="462">
      <c r="D462" s="18"/>
      <c r="H462" s="17"/>
    </row>
    <row r="463">
      <c r="D463" s="18"/>
      <c r="H463" s="17"/>
    </row>
    <row r="464">
      <c r="D464" s="18"/>
      <c r="H464" s="17"/>
    </row>
    <row r="465">
      <c r="D465" s="18"/>
      <c r="H465" s="17"/>
    </row>
    <row r="466">
      <c r="D466" s="18"/>
      <c r="H466" s="17"/>
    </row>
    <row r="467">
      <c r="D467" s="18"/>
      <c r="H467" s="17"/>
    </row>
    <row r="468">
      <c r="D468" s="18"/>
      <c r="H468" s="17"/>
    </row>
    <row r="469">
      <c r="D469" s="18"/>
      <c r="H469" s="17"/>
    </row>
    <row r="470">
      <c r="D470" s="18"/>
      <c r="H470" s="17"/>
    </row>
    <row r="471">
      <c r="D471" s="18"/>
      <c r="H471" s="17"/>
    </row>
    <row r="472">
      <c r="D472" s="18"/>
      <c r="H472" s="17"/>
    </row>
    <row r="473">
      <c r="D473" s="18"/>
      <c r="H473" s="17"/>
    </row>
    <row r="474">
      <c r="D474" s="18"/>
      <c r="H474" s="17"/>
    </row>
    <row r="475">
      <c r="D475" s="18"/>
      <c r="H475" s="17"/>
    </row>
    <row r="476">
      <c r="D476" s="18"/>
      <c r="H476" s="17"/>
    </row>
    <row r="477">
      <c r="D477" s="18"/>
      <c r="H477" s="17"/>
    </row>
    <row r="478">
      <c r="D478" s="18"/>
      <c r="H478" s="17"/>
    </row>
    <row r="479">
      <c r="D479" s="18"/>
      <c r="H479" s="17"/>
    </row>
    <row r="480">
      <c r="D480" s="18"/>
      <c r="H480" s="17"/>
    </row>
    <row r="481">
      <c r="D481" s="18"/>
      <c r="H481" s="17"/>
    </row>
    <row r="482">
      <c r="D482" s="18"/>
      <c r="H482" s="17"/>
    </row>
    <row r="483">
      <c r="D483" s="18"/>
      <c r="H483" s="17"/>
    </row>
    <row r="484">
      <c r="D484" s="18"/>
      <c r="H484" s="17"/>
    </row>
    <row r="485">
      <c r="D485" s="18"/>
      <c r="H485" s="17"/>
    </row>
    <row r="486">
      <c r="D486" s="18"/>
      <c r="H486" s="17"/>
    </row>
    <row r="487">
      <c r="D487" s="18"/>
      <c r="H487" s="17"/>
    </row>
    <row r="488">
      <c r="D488" s="18"/>
      <c r="H488" s="17"/>
    </row>
    <row r="489">
      <c r="D489" s="18"/>
      <c r="H489" s="17"/>
    </row>
    <row r="490">
      <c r="D490" s="18"/>
      <c r="H490" s="17"/>
    </row>
    <row r="491">
      <c r="D491" s="18"/>
      <c r="H491" s="17"/>
    </row>
    <row r="492">
      <c r="D492" s="18"/>
      <c r="H492" s="17"/>
    </row>
    <row r="493">
      <c r="D493" s="18"/>
      <c r="H493" s="17"/>
    </row>
    <row r="494">
      <c r="D494" s="18"/>
      <c r="H494" s="17"/>
    </row>
    <row r="495">
      <c r="D495" s="18"/>
      <c r="H495" s="17"/>
    </row>
    <row r="496">
      <c r="D496" s="18"/>
      <c r="H496" s="17"/>
    </row>
    <row r="497">
      <c r="D497" s="18"/>
      <c r="H497" s="17"/>
    </row>
    <row r="498">
      <c r="D498" s="18"/>
      <c r="H498" s="17"/>
    </row>
    <row r="499">
      <c r="D499" s="18"/>
      <c r="H499" s="17"/>
    </row>
    <row r="500">
      <c r="D500" s="18"/>
      <c r="H500" s="17"/>
    </row>
    <row r="501">
      <c r="D501" s="18"/>
      <c r="H501" s="17"/>
    </row>
    <row r="502">
      <c r="D502" s="18"/>
      <c r="H502" s="17"/>
    </row>
    <row r="503">
      <c r="D503" s="18"/>
      <c r="H503" s="17"/>
    </row>
    <row r="504">
      <c r="D504" s="18"/>
      <c r="H504" s="17"/>
    </row>
    <row r="505">
      <c r="D505" s="18"/>
      <c r="H505" s="17"/>
    </row>
    <row r="506">
      <c r="D506" s="18"/>
      <c r="H506" s="17"/>
    </row>
    <row r="507">
      <c r="D507" s="18"/>
      <c r="H507" s="17"/>
    </row>
    <row r="508">
      <c r="D508" s="18"/>
      <c r="H508" s="17"/>
    </row>
    <row r="509">
      <c r="D509" s="18"/>
      <c r="H509" s="17"/>
    </row>
    <row r="510">
      <c r="D510" s="18"/>
      <c r="H510" s="17"/>
    </row>
    <row r="511">
      <c r="D511" s="18"/>
      <c r="H511" s="17"/>
    </row>
    <row r="512">
      <c r="D512" s="18"/>
      <c r="H512" s="17"/>
    </row>
    <row r="513">
      <c r="D513" s="18"/>
      <c r="H513" s="17"/>
    </row>
    <row r="514">
      <c r="D514" s="18"/>
      <c r="H514" s="17"/>
    </row>
    <row r="515">
      <c r="D515" s="18"/>
      <c r="H515" s="17"/>
    </row>
    <row r="516">
      <c r="D516" s="18"/>
      <c r="H516" s="17"/>
    </row>
    <row r="517">
      <c r="D517" s="18"/>
      <c r="H517" s="17"/>
    </row>
    <row r="518">
      <c r="D518" s="18"/>
      <c r="H518" s="17"/>
    </row>
    <row r="519">
      <c r="D519" s="18"/>
      <c r="H519" s="17"/>
    </row>
    <row r="520">
      <c r="D520" s="18"/>
      <c r="H520" s="17"/>
    </row>
    <row r="521">
      <c r="D521" s="18"/>
      <c r="H521" s="17"/>
    </row>
    <row r="522">
      <c r="D522" s="18"/>
      <c r="H522" s="17"/>
    </row>
    <row r="523">
      <c r="D523" s="18"/>
      <c r="H523" s="17"/>
    </row>
    <row r="524">
      <c r="D524" s="18"/>
      <c r="H524" s="17"/>
    </row>
    <row r="525">
      <c r="D525" s="18"/>
      <c r="H525" s="17"/>
    </row>
    <row r="526">
      <c r="D526" s="18"/>
      <c r="H526" s="17"/>
    </row>
    <row r="527">
      <c r="D527" s="18"/>
      <c r="H527" s="17"/>
    </row>
    <row r="528">
      <c r="D528" s="18"/>
      <c r="H528" s="17"/>
    </row>
    <row r="529">
      <c r="D529" s="18"/>
      <c r="H529" s="17"/>
    </row>
    <row r="530">
      <c r="D530" s="18"/>
      <c r="H530" s="17"/>
    </row>
    <row r="531">
      <c r="D531" s="18"/>
      <c r="H531" s="17"/>
    </row>
    <row r="532">
      <c r="D532" s="18"/>
      <c r="H532" s="17"/>
    </row>
    <row r="533">
      <c r="D533" s="18"/>
      <c r="H533" s="17"/>
    </row>
    <row r="534">
      <c r="D534" s="18"/>
      <c r="H534" s="17"/>
    </row>
    <row r="535">
      <c r="D535" s="18"/>
      <c r="H535" s="17"/>
    </row>
    <row r="536">
      <c r="D536" s="18"/>
      <c r="H536" s="17"/>
    </row>
    <row r="537">
      <c r="D537" s="18"/>
      <c r="H537" s="17"/>
    </row>
    <row r="538">
      <c r="D538" s="18"/>
      <c r="H538" s="17"/>
    </row>
    <row r="539">
      <c r="D539" s="18"/>
      <c r="H539" s="17"/>
    </row>
    <row r="540">
      <c r="D540" s="18"/>
      <c r="H540" s="17"/>
    </row>
    <row r="541">
      <c r="D541" s="18"/>
      <c r="H541" s="17"/>
    </row>
    <row r="542">
      <c r="D542" s="18"/>
      <c r="H542" s="17"/>
    </row>
    <row r="543">
      <c r="D543" s="18"/>
      <c r="H543" s="17"/>
    </row>
    <row r="544">
      <c r="D544" s="18"/>
      <c r="H544" s="17"/>
    </row>
    <row r="545">
      <c r="D545" s="18"/>
      <c r="H545" s="17"/>
    </row>
    <row r="546">
      <c r="D546" s="18"/>
      <c r="H546" s="17"/>
    </row>
    <row r="547">
      <c r="D547" s="18"/>
      <c r="H547" s="17"/>
    </row>
    <row r="548">
      <c r="D548" s="18"/>
      <c r="H548" s="17"/>
    </row>
    <row r="549">
      <c r="D549" s="18"/>
      <c r="H549" s="17"/>
    </row>
    <row r="550">
      <c r="D550" s="18"/>
      <c r="H550" s="17"/>
    </row>
    <row r="551">
      <c r="D551" s="18"/>
      <c r="H551" s="17"/>
    </row>
    <row r="552">
      <c r="D552" s="18"/>
      <c r="H552" s="17"/>
    </row>
    <row r="553">
      <c r="D553" s="18"/>
      <c r="H553" s="17"/>
    </row>
    <row r="554">
      <c r="D554" s="18"/>
      <c r="H554" s="17"/>
    </row>
    <row r="555">
      <c r="D555" s="18"/>
      <c r="H555" s="17"/>
    </row>
    <row r="556">
      <c r="D556" s="18"/>
      <c r="H556" s="17"/>
    </row>
    <row r="557">
      <c r="D557" s="18"/>
      <c r="H557" s="17"/>
    </row>
    <row r="558">
      <c r="D558" s="18"/>
      <c r="H558" s="17"/>
    </row>
    <row r="559">
      <c r="D559" s="18"/>
      <c r="H559" s="17"/>
    </row>
    <row r="560">
      <c r="D560" s="18"/>
      <c r="H560" s="17"/>
    </row>
    <row r="561">
      <c r="D561" s="18"/>
      <c r="H561" s="17"/>
    </row>
    <row r="562">
      <c r="D562" s="18"/>
      <c r="H562" s="17"/>
    </row>
    <row r="563">
      <c r="D563" s="18"/>
      <c r="H563" s="17"/>
    </row>
    <row r="564">
      <c r="D564" s="18"/>
      <c r="H564" s="17"/>
    </row>
    <row r="565">
      <c r="D565" s="18"/>
      <c r="H565" s="17"/>
    </row>
    <row r="566">
      <c r="D566" s="18"/>
      <c r="H566" s="17"/>
    </row>
    <row r="567">
      <c r="D567" s="18"/>
      <c r="H567" s="17"/>
    </row>
    <row r="568">
      <c r="D568" s="18"/>
      <c r="H568" s="17"/>
    </row>
    <row r="569">
      <c r="D569" s="18"/>
      <c r="H569" s="17"/>
    </row>
    <row r="570">
      <c r="D570" s="18"/>
      <c r="H570" s="17"/>
    </row>
    <row r="571">
      <c r="D571" s="18"/>
      <c r="H571" s="17"/>
    </row>
    <row r="572">
      <c r="D572" s="18"/>
      <c r="H572" s="17"/>
    </row>
    <row r="573">
      <c r="D573" s="18"/>
      <c r="H573" s="17"/>
    </row>
    <row r="574">
      <c r="D574" s="18"/>
      <c r="H574" s="17"/>
    </row>
    <row r="575">
      <c r="D575" s="18"/>
      <c r="H575" s="17"/>
    </row>
    <row r="576">
      <c r="D576" s="18"/>
      <c r="H576" s="17"/>
    </row>
    <row r="577">
      <c r="D577" s="18"/>
      <c r="H577" s="17"/>
    </row>
    <row r="578">
      <c r="D578" s="18"/>
      <c r="H578" s="17"/>
    </row>
    <row r="579">
      <c r="D579" s="18"/>
      <c r="H579" s="17"/>
    </row>
    <row r="580">
      <c r="D580" s="18"/>
      <c r="H580" s="17"/>
    </row>
    <row r="581">
      <c r="D581" s="18"/>
      <c r="H581" s="17"/>
    </row>
    <row r="582">
      <c r="D582" s="18"/>
      <c r="H582" s="17"/>
    </row>
    <row r="583">
      <c r="D583" s="18"/>
      <c r="H583" s="17"/>
    </row>
    <row r="584">
      <c r="D584" s="18"/>
      <c r="H584" s="17"/>
    </row>
    <row r="585">
      <c r="D585" s="18"/>
      <c r="H585" s="17"/>
    </row>
    <row r="586">
      <c r="D586" s="18"/>
      <c r="H586" s="17"/>
    </row>
    <row r="587">
      <c r="D587" s="18"/>
      <c r="H587" s="17"/>
    </row>
    <row r="588">
      <c r="D588" s="18"/>
      <c r="H588" s="17"/>
    </row>
    <row r="589">
      <c r="D589" s="18"/>
      <c r="H589" s="17"/>
    </row>
    <row r="590">
      <c r="D590" s="18"/>
      <c r="H590" s="17"/>
    </row>
    <row r="591">
      <c r="D591" s="18"/>
      <c r="H591" s="17"/>
    </row>
    <row r="592">
      <c r="D592" s="18"/>
      <c r="H592" s="17"/>
    </row>
    <row r="593">
      <c r="D593" s="18"/>
      <c r="H593" s="17"/>
    </row>
    <row r="594">
      <c r="D594" s="18"/>
      <c r="H594" s="17"/>
    </row>
    <row r="595">
      <c r="D595" s="18"/>
      <c r="H595" s="17"/>
    </row>
    <row r="596">
      <c r="D596" s="18"/>
      <c r="H596" s="17"/>
    </row>
    <row r="597">
      <c r="D597" s="18"/>
      <c r="H597" s="17"/>
    </row>
    <row r="598">
      <c r="D598" s="18"/>
      <c r="H598" s="17"/>
    </row>
    <row r="599">
      <c r="D599" s="18"/>
      <c r="H599" s="17"/>
    </row>
    <row r="600">
      <c r="D600" s="18"/>
      <c r="H600" s="17"/>
    </row>
    <row r="601">
      <c r="D601" s="18"/>
      <c r="H601" s="17"/>
    </row>
    <row r="602">
      <c r="D602" s="18"/>
      <c r="H602" s="17"/>
    </row>
    <row r="603">
      <c r="D603" s="18"/>
      <c r="H603" s="17"/>
    </row>
    <row r="604">
      <c r="D604" s="18"/>
      <c r="H604" s="17"/>
    </row>
    <row r="605">
      <c r="D605" s="18"/>
      <c r="H605" s="17"/>
    </row>
    <row r="606">
      <c r="D606" s="18"/>
      <c r="H606" s="17"/>
    </row>
    <row r="607">
      <c r="D607" s="18"/>
      <c r="H607" s="17"/>
    </row>
    <row r="608">
      <c r="D608" s="18"/>
      <c r="H608" s="17"/>
    </row>
    <row r="609">
      <c r="D609" s="18"/>
      <c r="H609" s="17"/>
    </row>
    <row r="610">
      <c r="D610" s="18"/>
      <c r="H610" s="17"/>
    </row>
    <row r="611">
      <c r="D611" s="18"/>
      <c r="H611" s="17"/>
    </row>
    <row r="612">
      <c r="D612" s="18"/>
      <c r="H612" s="17"/>
    </row>
    <row r="613">
      <c r="D613" s="18"/>
      <c r="H613" s="17"/>
    </row>
    <row r="614">
      <c r="D614" s="18"/>
      <c r="H614" s="17"/>
    </row>
    <row r="615">
      <c r="D615" s="18"/>
      <c r="H615" s="17"/>
    </row>
    <row r="616">
      <c r="D616" s="18"/>
      <c r="H616" s="17"/>
    </row>
    <row r="617">
      <c r="D617" s="18"/>
      <c r="H617" s="17"/>
    </row>
    <row r="618">
      <c r="D618" s="18"/>
      <c r="H618" s="17"/>
    </row>
    <row r="619">
      <c r="D619" s="18"/>
      <c r="H619" s="17"/>
    </row>
    <row r="620">
      <c r="D620" s="18"/>
      <c r="H620" s="17"/>
    </row>
    <row r="621">
      <c r="D621" s="18"/>
      <c r="H621" s="17"/>
    </row>
    <row r="622">
      <c r="D622" s="18"/>
      <c r="H622" s="17"/>
    </row>
    <row r="623">
      <c r="D623" s="18"/>
      <c r="H623" s="17"/>
    </row>
    <row r="624">
      <c r="D624" s="18"/>
      <c r="H624" s="17"/>
    </row>
    <row r="625">
      <c r="D625" s="18"/>
      <c r="H625" s="17"/>
    </row>
    <row r="626">
      <c r="D626" s="18"/>
      <c r="H626" s="17"/>
    </row>
    <row r="627">
      <c r="D627" s="18"/>
      <c r="H627" s="17"/>
    </row>
    <row r="628">
      <c r="D628" s="18"/>
      <c r="H628" s="17"/>
    </row>
    <row r="629">
      <c r="D629" s="18"/>
      <c r="H629" s="17"/>
    </row>
    <row r="630">
      <c r="D630" s="18"/>
      <c r="H630" s="17"/>
    </row>
    <row r="631">
      <c r="D631" s="18"/>
      <c r="H631" s="17"/>
    </row>
    <row r="632">
      <c r="D632" s="18"/>
      <c r="H632" s="17"/>
    </row>
    <row r="633">
      <c r="D633" s="18"/>
      <c r="H633" s="17"/>
    </row>
    <row r="634">
      <c r="D634" s="18"/>
      <c r="H634" s="17"/>
    </row>
    <row r="635">
      <c r="D635" s="18"/>
      <c r="H635" s="17"/>
    </row>
    <row r="636">
      <c r="D636" s="18"/>
      <c r="H636" s="17"/>
    </row>
    <row r="637">
      <c r="D637" s="18"/>
      <c r="H637" s="17"/>
    </row>
    <row r="638">
      <c r="D638" s="18"/>
      <c r="H638" s="17"/>
    </row>
    <row r="639">
      <c r="D639" s="18"/>
      <c r="H639" s="17"/>
    </row>
    <row r="640">
      <c r="D640" s="18"/>
      <c r="H640" s="17"/>
    </row>
    <row r="641">
      <c r="D641" s="18"/>
      <c r="H641" s="17"/>
    </row>
    <row r="642">
      <c r="D642" s="18"/>
      <c r="H642" s="17"/>
    </row>
    <row r="643">
      <c r="D643" s="18"/>
      <c r="H643" s="17"/>
    </row>
    <row r="644">
      <c r="D644" s="18"/>
      <c r="H644" s="17"/>
    </row>
    <row r="645">
      <c r="D645" s="18"/>
      <c r="H645" s="17"/>
    </row>
    <row r="646">
      <c r="D646" s="18"/>
      <c r="H646" s="17"/>
    </row>
    <row r="647">
      <c r="D647" s="18"/>
      <c r="H647" s="17"/>
    </row>
    <row r="648">
      <c r="D648" s="18"/>
      <c r="H648" s="17"/>
    </row>
    <row r="649">
      <c r="D649" s="18"/>
      <c r="H649" s="17"/>
    </row>
    <row r="650">
      <c r="D650" s="18"/>
      <c r="H650" s="17"/>
    </row>
    <row r="651">
      <c r="D651" s="18"/>
      <c r="H651" s="17"/>
    </row>
    <row r="652">
      <c r="D652" s="18"/>
      <c r="H652" s="17"/>
    </row>
    <row r="653">
      <c r="D653" s="18"/>
      <c r="H653" s="17"/>
    </row>
    <row r="654">
      <c r="D654" s="18"/>
      <c r="H654" s="17"/>
    </row>
    <row r="655">
      <c r="D655" s="18"/>
      <c r="H655" s="17"/>
    </row>
    <row r="656">
      <c r="D656" s="18"/>
      <c r="H656" s="17"/>
    </row>
    <row r="657">
      <c r="D657" s="18"/>
      <c r="H657" s="17"/>
    </row>
    <row r="658">
      <c r="D658" s="18"/>
      <c r="H658" s="17"/>
    </row>
    <row r="659">
      <c r="D659" s="18"/>
      <c r="H659" s="17"/>
    </row>
    <row r="660">
      <c r="D660" s="18"/>
      <c r="H660" s="17"/>
    </row>
    <row r="661">
      <c r="D661" s="18"/>
      <c r="H661" s="17"/>
    </row>
    <row r="662">
      <c r="D662" s="18"/>
      <c r="H662" s="17"/>
    </row>
    <row r="663">
      <c r="D663" s="18"/>
      <c r="H663" s="17"/>
    </row>
    <row r="664">
      <c r="D664" s="18"/>
      <c r="H664" s="17"/>
    </row>
    <row r="665">
      <c r="D665" s="18"/>
      <c r="H665" s="17"/>
    </row>
    <row r="666">
      <c r="D666" s="18"/>
      <c r="H666" s="17"/>
    </row>
    <row r="667">
      <c r="D667" s="18"/>
      <c r="H667" s="17"/>
    </row>
    <row r="668">
      <c r="D668" s="18"/>
      <c r="H668" s="17"/>
    </row>
    <row r="669">
      <c r="D669" s="18"/>
      <c r="H669" s="17"/>
    </row>
    <row r="670">
      <c r="D670" s="18"/>
      <c r="H670" s="17"/>
    </row>
    <row r="671">
      <c r="D671" s="18"/>
      <c r="H671" s="17"/>
    </row>
    <row r="672">
      <c r="D672" s="18"/>
      <c r="H672" s="17"/>
    </row>
    <row r="673">
      <c r="D673" s="18"/>
      <c r="H673" s="17"/>
    </row>
    <row r="674">
      <c r="D674" s="18"/>
      <c r="H674" s="17"/>
    </row>
    <row r="675">
      <c r="D675" s="18"/>
      <c r="H675" s="17"/>
    </row>
    <row r="676">
      <c r="D676" s="18"/>
      <c r="H676" s="17"/>
    </row>
    <row r="677">
      <c r="D677" s="18"/>
      <c r="H677" s="17"/>
    </row>
    <row r="678">
      <c r="D678" s="18"/>
      <c r="H678" s="17"/>
    </row>
    <row r="679">
      <c r="D679" s="18"/>
      <c r="H679" s="17"/>
    </row>
    <row r="680">
      <c r="D680" s="18"/>
      <c r="H680" s="17"/>
    </row>
    <row r="681">
      <c r="D681" s="18"/>
      <c r="H681" s="17"/>
    </row>
    <row r="682">
      <c r="D682" s="18"/>
      <c r="H682" s="17"/>
    </row>
    <row r="683">
      <c r="D683" s="18"/>
      <c r="H683" s="17"/>
    </row>
    <row r="684">
      <c r="D684" s="18"/>
      <c r="H684" s="17"/>
    </row>
    <row r="685">
      <c r="D685" s="18"/>
      <c r="H685" s="17"/>
    </row>
    <row r="686">
      <c r="D686" s="18"/>
      <c r="H686" s="17"/>
    </row>
    <row r="687">
      <c r="D687" s="18"/>
      <c r="H687" s="17"/>
    </row>
    <row r="688">
      <c r="D688" s="18"/>
      <c r="H688" s="17"/>
    </row>
    <row r="689">
      <c r="D689" s="18"/>
      <c r="H689" s="17"/>
    </row>
    <row r="690">
      <c r="D690" s="18"/>
      <c r="H690" s="17"/>
    </row>
    <row r="691">
      <c r="D691" s="18"/>
      <c r="H691" s="17"/>
    </row>
    <row r="692">
      <c r="D692" s="18"/>
      <c r="H692" s="17"/>
    </row>
    <row r="693">
      <c r="D693" s="18"/>
      <c r="H693" s="17"/>
    </row>
    <row r="694">
      <c r="D694" s="18"/>
      <c r="H694" s="17"/>
    </row>
    <row r="695">
      <c r="D695" s="18"/>
      <c r="H695" s="17"/>
    </row>
    <row r="696">
      <c r="D696" s="18"/>
      <c r="H696" s="17"/>
    </row>
    <row r="697">
      <c r="D697" s="18"/>
      <c r="H697" s="17"/>
    </row>
    <row r="698">
      <c r="D698" s="18"/>
      <c r="H698" s="17"/>
    </row>
    <row r="699">
      <c r="D699" s="18"/>
      <c r="H699" s="17"/>
    </row>
    <row r="700">
      <c r="D700" s="18"/>
      <c r="H700" s="17"/>
    </row>
    <row r="701">
      <c r="D701" s="18"/>
      <c r="H701" s="17"/>
    </row>
    <row r="702">
      <c r="D702" s="18"/>
      <c r="H702" s="17"/>
    </row>
    <row r="703">
      <c r="D703" s="18"/>
      <c r="H703" s="17"/>
    </row>
    <row r="704">
      <c r="D704" s="18"/>
      <c r="H704" s="17"/>
    </row>
    <row r="705">
      <c r="D705" s="18"/>
      <c r="H705" s="17"/>
    </row>
    <row r="706">
      <c r="D706" s="18"/>
      <c r="H706" s="17"/>
    </row>
    <row r="707">
      <c r="D707" s="18"/>
      <c r="H707" s="17"/>
    </row>
    <row r="708">
      <c r="D708" s="18"/>
      <c r="H708" s="17"/>
    </row>
    <row r="709">
      <c r="D709" s="18"/>
      <c r="H709" s="17"/>
    </row>
    <row r="710">
      <c r="D710" s="18"/>
      <c r="H710" s="17"/>
    </row>
    <row r="711">
      <c r="D711" s="18"/>
      <c r="H711" s="17"/>
    </row>
    <row r="712">
      <c r="D712" s="18"/>
      <c r="H712" s="17"/>
    </row>
    <row r="713">
      <c r="D713" s="18"/>
      <c r="H713" s="17"/>
    </row>
    <row r="714">
      <c r="D714" s="18"/>
      <c r="H714" s="17"/>
    </row>
    <row r="715">
      <c r="D715" s="18"/>
      <c r="H715" s="17"/>
    </row>
    <row r="716">
      <c r="D716" s="18"/>
      <c r="H716" s="17"/>
    </row>
    <row r="717">
      <c r="D717" s="18"/>
      <c r="H717" s="17"/>
    </row>
    <row r="718">
      <c r="D718" s="18"/>
      <c r="H718" s="17"/>
    </row>
    <row r="719">
      <c r="D719" s="18"/>
      <c r="H719" s="17"/>
    </row>
    <row r="720">
      <c r="D720" s="18"/>
      <c r="H720" s="17"/>
    </row>
    <row r="721">
      <c r="D721" s="18"/>
      <c r="H721" s="17"/>
    </row>
    <row r="722">
      <c r="D722" s="18"/>
      <c r="H722" s="17"/>
    </row>
    <row r="723">
      <c r="D723" s="18"/>
      <c r="H723" s="17"/>
    </row>
    <row r="724">
      <c r="D724" s="18"/>
      <c r="H724" s="17"/>
    </row>
    <row r="725">
      <c r="D725" s="18"/>
      <c r="H725" s="17"/>
    </row>
    <row r="726">
      <c r="D726" s="18"/>
      <c r="H726" s="17"/>
    </row>
    <row r="727">
      <c r="D727" s="18"/>
      <c r="H727" s="17"/>
    </row>
    <row r="728">
      <c r="D728" s="18"/>
      <c r="H728" s="17"/>
    </row>
    <row r="729">
      <c r="D729" s="18"/>
      <c r="H729" s="17"/>
    </row>
    <row r="730">
      <c r="D730" s="18"/>
      <c r="H730" s="17"/>
    </row>
    <row r="731">
      <c r="D731" s="18"/>
      <c r="H731" s="17"/>
    </row>
    <row r="732">
      <c r="D732" s="18"/>
      <c r="H732" s="17"/>
    </row>
    <row r="733">
      <c r="D733" s="18"/>
      <c r="H733" s="17"/>
    </row>
    <row r="734">
      <c r="D734" s="18"/>
      <c r="H734" s="17"/>
    </row>
    <row r="735">
      <c r="D735" s="18"/>
      <c r="H735" s="17"/>
    </row>
    <row r="736">
      <c r="D736" s="18"/>
      <c r="H736" s="17"/>
    </row>
    <row r="737">
      <c r="D737" s="18"/>
      <c r="H737" s="17"/>
    </row>
    <row r="738">
      <c r="D738" s="18"/>
      <c r="H738" s="17"/>
    </row>
    <row r="739">
      <c r="D739" s="18"/>
      <c r="H739" s="17"/>
    </row>
    <row r="740">
      <c r="D740" s="18"/>
      <c r="H740" s="17"/>
    </row>
    <row r="741">
      <c r="D741" s="18"/>
      <c r="H741" s="17"/>
    </row>
    <row r="742">
      <c r="D742" s="18"/>
      <c r="H742" s="17"/>
    </row>
    <row r="743">
      <c r="D743" s="18"/>
      <c r="H743" s="17"/>
    </row>
    <row r="744">
      <c r="D744" s="18"/>
      <c r="H744" s="17"/>
    </row>
    <row r="745">
      <c r="D745" s="18"/>
      <c r="H745" s="17"/>
    </row>
    <row r="746">
      <c r="D746" s="18"/>
      <c r="H746" s="17"/>
    </row>
    <row r="747">
      <c r="D747" s="18"/>
      <c r="H747" s="17"/>
    </row>
    <row r="748">
      <c r="D748" s="18"/>
      <c r="H748" s="17"/>
    </row>
    <row r="749">
      <c r="D749" s="18"/>
      <c r="H749" s="17"/>
    </row>
    <row r="750">
      <c r="D750" s="18"/>
      <c r="H750" s="17"/>
    </row>
    <row r="751">
      <c r="D751" s="18"/>
      <c r="H751" s="17"/>
    </row>
    <row r="752">
      <c r="D752" s="18"/>
      <c r="H752" s="17"/>
    </row>
    <row r="753">
      <c r="D753" s="18"/>
      <c r="H753" s="17"/>
    </row>
    <row r="754">
      <c r="D754" s="18"/>
      <c r="H754" s="17"/>
    </row>
    <row r="755">
      <c r="D755" s="18"/>
      <c r="H755" s="17"/>
    </row>
    <row r="756">
      <c r="D756" s="18"/>
      <c r="H756" s="17"/>
    </row>
    <row r="757">
      <c r="D757" s="18"/>
      <c r="H757" s="17"/>
    </row>
    <row r="758">
      <c r="D758" s="18"/>
      <c r="H758" s="17"/>
    </row>
    <row r="759">
      <c r="D759" s="18"/>
      <c r="H759" s="17"/>
    </row>
    <row r="760">
      <c r="D760" s="18"/>
      <c r="H760" s="17"/>
    </row>
    <row r="761">
      <c r="D761" s="18"/>
      <c r="H761" s="17"/>
    </row>
    <row r="762">
      <c r="D762" s="18"/>
      <c r="H762" s="17"/>
    </row>
    <row r="763">
      <c r="D763" s="18"/>
      <c r="H763" s="17"/>
    </row>
    <row r="764">
      <c r="D764" s="18"/>
      <c r="H764" s="17"/>
    </row>
    <row r="765">
      <c r="D765" s="18"/>
      <c r="H765" s="17"/>
    </row>
    <row r="766">
      <c r="D766" s="18"/>
      <c r="H766" s="17"/>
    </row>
    <row r="767">
      <c r="D767" s="18"/>
      <c r="H767" s="17"/>
    </row>
    <row r="768">
      <c r="D768" s="18"/>
      <c r="H768" s="17"/>
    </row>
    <row r="769">
      <c r="D769" s="18"/>
      <c r="H769" s="17"/>
    </row>
    <row r="770">
      <c r="D770" s="18"/>
      <c r="H770" s="17"/>
    </row>
    <row r="771">
      <c r="D771" s="18"/>
      <c r="H771" s="17"/>
    </row>
    <row r="772">
      <c r="D772" s="18"/>
      <c r="H772" s="17"/>
    </row>
    <row r="773">
      <c r="D773" s="18"/>
      <c r="H773" s="17"/>
    </row>
    <row r="774">
      <c r="D774" s="18"/>
      <c r="H774" s="17"/>
    </row>
    <row r="775">
      <c r="D775" s="18"/>
      <c r="H775" s="17"/>
    </row>
    <row r="776">
      <c r="D776" s="18"/>
      <c r="H776" s="17"/>
    </row>
    <row r="777">
      <c r="D777" s="18"/>
      <c r="H777" s="17"/>
    </row>
    <row r="778">
      <c r="D778" s="18"/>
      <c r="H778" s="17"/>
    </row>
    <row r="779">
      <c r="D779" s="18"/>
      <c r="H779" s="17"/>
    </row>
    <row r="780">
      <c r="D780" s="18"/>
      <c r="H780" s="17"/>
    </row>
    <row r="781">
      <c r="D781" s="18"/>
      <c r="H781" s="17"/>
    </row>
    <row r="782">
      <c r="D782" s="18"/>
      <c r="H782" s="17"/>
    </row>
    <row r="783">
      <c r="D783" s="18"/>
      <c r="H783" s="17"/>
    </row>
    <row r="784">
      <c r="D784" s="18"/>
      <c r="H784" s="17"/>
    </row>
    <row r="785">
      <c r="D785" s="18"/>
      <c r="H785" s="17"/>
    </row>
    <row r="786">
      <c r="D786" s="18"/>
      <c r="H786" s="17"/>
    </row>
    <row r="787">
      <c r="D787" s="18"/>
      <c r="H787" s="17"/>
    </row>
    <row r="788">
      <c r="D788" s="18"/>
      <c r="H788" s="17"/>
    </row>
    <row r="789">
      <c r="D789" s="18"/>
      <c r="H789" s="17"/>
    </row>
    <row r="790">
      <c r="D790" s="18"/>
      <c r="H790" s="17"/>
    </row>
    <row r="791">
      <c r="D791" s="18"/>
      <c r="H791" s="17"/>
    </row>
    <row r="792">
      <c r="D792" s="18"/>
      <c r="H792" s="17"/>
    </row>
    <row r="793">
      <c r="D793" s="18"/>
      <c r="H793" s="17"/>
    </row>
    <row r="794">
      <c r="D794" s="18"/>
      <c r="H794" s="17"/>
    </row>
    <row r="795">
      <c r="D795" s="18"/>
      <c r="H795" s="17"/>
    </row>
    <row r="796">
      <c r="D796" s="18"/>
      <c r="H796" s="17"/>
    </row>
    <row r="797">
      <c r="D797" s="18"/>
      <c r="H797" s="17"/>
    </row>
    <row r="798">
      <c r="D798" s="18"/>
      <c r="H798" s="17"/>
    </row>
    <row r="799">
      <c r="D799" s="18"/>
      <c r="H799" s="17"/>
    </row>
    <row r="800">
      <c r="D800" s="18"/>
      <c r="H800" s="17"/>
    </row>
    <row r="801">
      <c r="D801" s="18"/>
      <c r="H801" s="17"/>
    </row>
    <row r="802">
      <c r="D802" s="18"/>
      <c r="H802" s="17"/>
    </row>
    <row r="803">
      <c r="D803" s="18"/>
      <c r="H803" s="17"/>
    </row>
    <row r="804">
      <c r="D804" s="18"/>
      <c r="H804" s="17"/>
    </row>
    <row r="805">
      <c r="D805" s="18"/>
      <c r="H805" s="17"/>
    </row>
    <row r="806">
      <c r="D806" s="18"/>
      <c r="H806" s="17"/>
    </row>
    <row r="807">
      <c r="D807" s="18"/>
      <c r="H807" s="17"/>
    </row>
    <row r="808">
      <c r="D808" s="18"/>
      <c r="H808" s="17"/>
    </row>
    <row r="809">
      <c r="D809" s="18"/>
      <c r="H809" s="17"/>
    </row>
    <row r="810">
      <c r="D810" s="18"/>
      <c r="H810" s="17"/>
    </row>
    <row r="811">
      <c r="D811" s="18"/>
      <c r="H811" s="17"/>
    </row>
    <row r="812">
      <c r="D812" s="18"/>
      <c r="H812" s="17"/>
    </row>
    <row r="813">
      <c r="D813" s="18"/>
      <c r="H813" s="17"/>
    </row>
    <row r="814">
      <c r="D814" s="18"/>
      <c r="H814" s="17"/>
    </row>
    <row r="815">
      <c r="D815" s="18"/>
      <c r="H815" s="17"/>
    </row>
    <row r="816">
      <c r="D816" s="18"/>
      <c r="H816" s="17"/>
    </row>
    <row r="817">
      <c r="D817" s="18"/>
      <c r="H817" s="17"/>
    </row>
    <row r="818">
      <c r="D818" s="18"/>
      <c r="H818" s="17"/>
    </row>
    <row r="819">
      <c r="D819" s="18"/>
      <c r="H819" s="17"/>
    </row>
    <row r="820">
      <c r="D820" s="18"/>
      <c r="H820" s="17"/>
    </row>
    <row r="821">
      <c r="D821" s="18"/>
      <c r="H821" s="17"/>
    </row>
    <row r="822">
      <c r="D822" s="18"/>
      <c r="H822" s="17"/>
    </row>
    <row r="823">
      <c r="D823" s="18"/>
      <c r="H823" s="17"/>
    </row>
    <row r="824">
      <c r="D824" s="18"/>
      <c r="H824" s="17"/>
    </row>
    <row r="825">
      <c r="D825" s="18"/>
      <c r="H825" s="17"/>
    </row>
    <row r="826">
      <c r="D826" s="18"/>
      <c r="H826" s="17"/>
    </row>
    <row r="827">
      <c r="D827" s="18"/>
      <c r="H827" s="17"/>
    </row>
    <row r="828">
      <c r="D828" s="18"/>
      <c r="H828" s="17"/>
    </row>
    <row r="829">
      <c r="D829" s="18"/>
      <c r="H829" s="17"/>
    </row>
    <row r="830">
      <c r="D830" s="18"/>
      <c r="H830" s="17"/>
    </row>
    <row r="831">
      <c r="D831" s="18"/>
      <c r="H831" s="17"/>
    </row>
    <row r="832">
      <c r="D832" s="18"/>
      <c r="H832" s="17"/>
    </row>
    <row r="833">
      <c r="D833" s="18"/>
      <c r="H833" s="17"/>
    </row>
    <row r="834">
      <c r="D834" s="18"/>
      <c r="H834" s="17"/>
    </row>
    <row r="835">
      <c r="D835" s="18"/>
      <c r="H835" s="17"/>
    </row>
    <row r="836">
      <c r="D836" s="18"/>
      <c r="H836" s="17"/>
    </row>
    <row r="837">
      <c r="D837" s="18"/>
      <c r="H837" s="17"/>
    </row>
    <row r="838">
      <c r="D838" s="18"/>
      <c r="H838" s="17"/>
    </row>
    <row r="839">
      <c r="D839" s="18"/>
      <c r="H839" s="17"/>
    </row>
    <row r="840">
      <c r="D840" s="18"/>
      <c r="H840" s="17"/>
    </row>
    <row r="841">
      <c r="D841" s="18"/>
      <c r="H841" s="17"/>
    </row>
    <row r="842">
      <c r="D842" s="18"/>
      <c r="H842" s="17"/>
    </row>
    <row r="843">
      <c r="D843" s="18"/>
      <c r="H843" s="17"/>
    </row>
    <row r="844">
      <c r="D844" s="18"/>
      <c r="H844" s="17"/>
    </row>
    <row r="845">
      <c r="D845" s="18"/>
      <c r="H845" s="17"/>
    </row>
    <row r="846">
      <c r="D846" s="18"/>
      <c r="H846" s="17"/>
    </row>
    <row r="847">
      <c r="D847" s="18"/>
      <c r="H847" s="17"/>
    </row>
    <row r="848">
      <c r="D848" s="18"/>
      <c r="H848" s="17"/>
    </row>
    <row r="849">
      <c r="D849" s="18"/>
      <c r="H849" s="17"/>
    </row>
    <row r="850">
      <c r="D850" s="18"/>
      <c r="H850" s="17"/>
    </row>
    <row r="851">
      <c r="D851" s="18"/>
      <c r="H851" s="17"/>
    </row>
    <row r="852">
      <c r="D852" s="18"/>
      <c r="H852" s="17"/>
    </row>
    <row r="853">
      <c r="D853" s="18"/>
      <c r="H853" s="17"/>
    </row>
    <row r="854">
      <c r="D854" s="18"/>
      <c r="H854" s="17"/>
    </row>
    <row r="855">
      <c r="D855" s="18"/>
      <c r="H855" s="17"/>
    </row>
    <row r="856">
      <c r="D856" s="18"/>
      <c r="H856" s="17"/>
    </row>
    <row r="857">
      <c r="D857" s="18"/>
      <c r="H857" s="17"/>
    </row>
    <row r="858">
      <c r="D858" s="18"/>
      <c r="H858" s="17"/>
    </row>
    <row r="859">
      <c r="D859" s="18"/>
      <c r="H859" s="17"/>
    </row>
    <row r="860">
      <c r="D860" s="18"/>
      <c r="H860" s="17"/>
    </row>
    <row r="861">
      <c r="D861" s="18"/>
      <c r="H861" s="17"/>
    </row>
    <row r="862">
      <c r="D862" s="18"/>
      <c r="H862" s="17"/>
    </row>
    <row r="863">
      <c r="D863" s="18"/>
      <c r="H863" s="17"/>
    </row>
    <row r="864">
      <c r="D864" s="18"/>
      <c r="H864" s="17"/>
    </row>
    <row r="865">
      <c r="D865" s="18"/>
      <c r="H865" s="17"/>
    </row>
    <row r="866">
      <c r="D866" s="18"/>
      <c r="H866" s="17"/>
    </row>
    <row r="867">
      <c r="D867" s="18"/>
      <c r="H867" s="17"/>
    </row>
    <row r="868">
      <c r="D868" s="18"/>
      <c r="H868" s="17"/>
    </row>
    <row r="869">
      <c r="D869" s="18"/>
      <c r="H869" s="17"/>
    </row>
    <row r="870">
      <c r="D870" s="18"/>
      <c r="H870" s="17"/>
    </row>
    <row r="871">
      <c r="D871" s="18"/>
      <c r="H871" s="17"/>
    </row>
    <row r="872">
      <c r="D872" s="18"/>
      <c r="H872" s="17"/>
    </row>
    <row r="873">
      <c r="D873" s="18"/>
      <c r="H873" s="17"/>
    </row>
    <row r="874">
      <c r="D874" s="18"/>
      <c r="H874" s="17"/>
    </row>
    <row r="875">
      <c r="D875" s="18"/>
      <c r="H875" s="17"/>
    </row>
    <row r="876">
      <c r="D876" s="18"/>
      <c r="H876" s="17"/>
    </row>
    <row r="877">
      <c r="D877" s="18"/>
      <c r="H877" s="17"/>
    </row>
    <row r="878">
      <c r="D878" s="18"/>
      <c r="H878" s="17"/>
    </row>
    <row r="879">
      <c r="D879" s="18"/>
      <c r="H879" s="17"/>
    </row>
    <row r="880">
      <c r="D880" s="18"/>
      <c r="H880" s="17"/>
    </row>
    <row r="881">
      <c r="D881" s="18"/>
      <c r="H881" s="17"/>
    </row>
    <row r="882">
      <c r="D882" s="18"/>
      <c r="H882" s="17"/>
    </row>
    <row r="883">
      <c r="D883" s="18"/>
      <c r="H883" s="17"/>
    </row>
    <row r="884">
      <c r="D884" s="18"/>
      <c r="H884" s="17"/>
    </row>
    <row r="885">
      <c r="D885" s="18"/>
      <c r="H885" s="17"/>
    </row>
    <row r="886">
      <c r="D886" s="18"/>
      <c r="H886" s="17"/>
    </row>
    <row r="887">
      <c r="D887" s="18"/>
      <c r="H887" s="17"/>
    </row>
    <row r="888">
      <c r="D888" s="18"/>
      <c r="H888" s="17"/>
    </row>
    <row r="889">
      <c r="D889" s="18"/>
      <c r="H889" s="17"/>
    </row>
    <row r="890">
      <c r="D890" s="18"/>
      <c r="H890" s="17"/>
    </row>
    <row r="891">
      <c r="D891" s="18"/>
      <c r="H891" s="17"/>
    </row>
    <row r="892">
      <c r="D892" s="18"/>
      <c r="H892" s="17"/>
    </row>
    <row r="893">
      <c r="D893" s="18"/>
      <c r="H893" s="17"/>
    </row>
    <row r="894">
      <c r="D894" s="18"/>
      <c r="H894" s="17"/>
    </row>
    <row r="895">
      <c r="D895" s="18"/>
      <c r="H895" s="17"/>
    </row>
    <row r="896">
      <c r="D896" s="18"/>
      <c r="H896" s="17"/>
    </row>
    <row r="897">
      <c r="D897" s="18"/>
      <c r="H897" s="17"/>
    </row>
    <row r="898">
      <c r="D898" s="18"/>
      <c r="H898" s="17"/>
    </row>
    <row r="899">
      <c r="D899" s="18"/>
      <c r="H899" s="17"/>
    </row>
    <row r="900">
      <c r="D900" s="18"/>
      <c r="H900" s="17"/>
    </row>
    <row r="901">
      <c r="D901" s="18"/>
      <c r="H901" s="17"/>
    </row>
    <row r="902">
      <c r="D902" s="18"/>
      <c r="H902" s="17"/>
    </row>
    <row r="903">
      <c r="D903" s="18"/>
      <c r="H903" s="17"/>
    </row>
    <row r="904">
      <c r="D904" s="18"/>
      <c r="H904" s="17"/>
    </row>
    <row r="905">
      <c r="D905" s="18"/>
      <c r="H905" s="17"/>
    </row>
    <row r="906">
      <c r="D906" s="18"/>
      <c r="H906" s="17"/>
    </row>
    <row r="907">
      <c r="D907" s="18"/>
      <c r="H907" s="17"/>
    </row>
    <row r="908">
      <c r="D908" s="18"/>
      <c r="H908" s="17"/>
    </row>
    <row r="909">
      <c r="D909" s="18"/>
      <c r="H909" s="17"/>
    </row>
    <row r="910">
      <c r="D910" s="18"/>
      <c r="H910" s="17"/>
    </row>
    <row r="911">
      <c r="D911" s="18"/>
      <c r="H911" s="17"/>
    </row>
    <row r="912">
      <c r="D912" s="18"/>
      <c r="H912" s="17"/>
    </row>
    <row r="913">
      <c r="D913" s="18"/>
      <c r="H913" s="17"/>
    </row>
    <row r="914">
      <c r="D914" s="18"/>
      <c r="H914" s="17"/>
    </row>
    <row r="915">
      <c r="D915" s="18"/>
      <c r="H915" s="17"/>
    </row>
    <row r="916">
      <c r="D916" s="18"/>
      <c r="H916" s="17"/>
    </row>
    <row r="917">
      <c r="D917" s="18"/>
      <c r="H917" s="17"/>
    </row>
    <row r="918">
      <c r="D918" s="18"/>
      <c r="H918" s="17"/>
    </row>
    <row r="919">
      <c r="D919" s="18"/>
      <c r="H919" s="17"/>
    </row>
    <row r="920">
      <c r="D920" s="18"/>
      <c r="H920" s="17"/>
    </row>
    <row r="921">
      <c r="D921" s="18"/>
      <c r="H921" s="17"/>
    </row>
    <row r="922">
      <c r="D922" s="18"/>
      <c r="H922" s="17"/>
    </row>
    <row r="923">
      <c r="D923" s="18"/>
      <c r="H923" s="17"/>
    </row>
    <row r="924">
      <c r="D924" s="18"/>
      <c r="H924" s="17"/>
    </row>
    <row r="925">
      <c r="D925" s="18"/>
      <c r="H925" s="17"/>
    </row>
    <row r="926">
      <c r="D926" s="18"/>
      <c r="H926" s="17"/>
    </row>
    <row r="927">
      <c r="D927" s="18"/>
      <c r="H927" s="17"/>
    </row>
    <row r="928">
      <c r="D928" s="18"/>
      <c r="H928" s="17"/>
    </row>
    <row r="929">
      <c r="D929" s="18"/>
      <c r="H929" s="17"/>
    </row>
    <row r="930">
      <c r="D930" s="18"/>
      <c r="H930" s="17"/>
    </row>
    <row r="931">
      <c r="D931" s="18"/>
      <c r="H931" s="17"/>
    </row>
    <row r="932">
      <c r="D932" s="18"/>
      <c r="H932" s="17"/>
    </row>
    <row r="933">
      <c r="D933" s="18"/>
      <c r="H933" s="17"/>
    </row>
    <row r="934">
      <c r="D934" s="18"/>
      <c r="H934" s="17"/>
    </row>
    <row r="935">
      <c r="D935" s="18"/>
      <c r="H935" s="17"/>
    </row>
    <row r="936">
      <c r="D936" s="18"/>
      <c r="H936" s="17"/>
    </row>
    <row r="937">
      <c r="D937" s="18"/>
      <c r="H937" s="17"/>
    </row>
    <row r="938">
      <c r="D938" s="18"/>
      <c r="H938" s="17"/>
    </row>
    <row r="939">
      <c r="D939" s="18"/>
      <c r="H939" s="17"/>
    </row>
    <row r="940">
      <c r="D940" s="18"/>
      <c r="H940" s="17"/>
    </row>
    <row r="941">
      <c r="D941" s="18"/>
      <c r="H941" s="17"/>
    </row>
    <row r="942">
      <c r="D942" s="18"/>
      <c r="H942" s="17"/>
    </row>
    <row r="943">
      <c r="D943" s="18"/>
      <c r="H943" s="17"/>
    </row>
    <row r="944">
      <c r="D944" s="18"/>
      <c r="H944" s="17"/>
    </row>
    <row r="945">
      <c r="D945" s="18"/>
      <c r="H945" s="17"/>
    </row>
    <row r="946">
      <c r="D946" s="18"/>
      <c r="H946" s="17"/>
    </row>
    <row r="947">
      <c r="D947" s="18"/>
      <c r="H947" s="17"/>
    </row>
    <row r="948">
      <c r="D948" s="18"/>
      <c r="H948" s="17"/>
    </row>
    <row r="949">
      <c r="D949" s="18"/>
      <c r="H949" s="17"/>
    </row>
    <row r="950">
      <c r="D950" s="18"/>
      <c r="H950" s="17"/>
    </row>
    <row r="951">
      <c r="D951" s="18"/>
      <c r="H951" s="17"/>
    </row>
    <row r="952">
      <c r="D952" s="18"/>
      <c r="H952" s="17"/>
    </row>
    <row r="953">
      <c r="D953" s="18"/>
      <c r="H953" s="17"/>
    </row>
    <row r="954">
      <c r="D954" s="18"/>
      <c r="H954" s="17"/>
    </row>
    <row r="955">
      <c r="D955" s="18"/>
      <c r="H955" s="17"/>
    </row>
    <row r="956">
      <c r="D956" s="18"/>
      <c r="H956" s="17"/>
    </row>
    <row r="957">
      <c r="D957" s="18"/>
      <c r="H957" s="17"/>
    </row>
    <row r="958">
      <c r="D958" s="18"/>
      <c r="H958" s="17"/>
    </row>
    <row r="959">
      <c r="D959" s="18"/>
      <c r="H959" s="17"/>
    </row>
    <row r="960">
      <c r="D960" s="18"/>
      <c r="H960" s="17"/>
    </row>
    <row r="961">
      <c r="D961" s="18"/>
      <c r="H961" s="17"/>
    </row>
    <row r="962">
      <c r="D962" s="18"/>
      <c r="H962" s="17"/>
    </row>
    <row r="963">
      <c r="D963" s="18"/>
      <c r="H963" s="17"/>
    </row>
    <row r="964">
      <c r="D964" s="18"/>
      <c r="H964" s="17"/>
    </row>
    <row r="965">
      <c r="D965" s="18"/>
      <c r="H965" s="17"/>
    </row>
    <row r="966">
      <c r="D966" s="18"/>
      <c r="H966" s="17"/>
    </row>
    <row r="967">
      <c r="D967" s="18"/>
      <c r="H967" s="17"/>
    </row>
    <row r="968">
      <c r="D968" s="18"/>
      <c r="H968" s="17"/>
    </row>
    <row r="969">
      <c r="D969" s="18"/>
      <c r="H969" s="17"/>
    </row>
    <row r="970">
      <c r="D970" s="18"/>
      <c r="H970" s="17"/>
    </row>
    <row r="971">
      <c r="D971" s="18"/>
      <c r="H971" s="17"/>
    </row>
    <row r="972">
      <c r="D972" s="18"/>
      <c r="H972" s="17"/>
    </row>
    <row r="973">
      <c r="D973" s="18"/>
      <c r="H973" s="17"/>
    </row>
    <row r="974">
      <c r="D974" s="18"/>
      <c r="H974" s="17"/>
    </row>
    <row r="975">
      <c r="D975" s="18"/>
      <c r="H975" s="17"/>
    </row>
    <row r="976">
      <c r="D976" s="18"/>
      <c r="H976" s="17"/>
    </row>
    <row r="977">
      <c r="D977" s="18"/>
      <c r="H977" s="17"/>
    </row>
    <row r="978">
      <c r="D978" s="18"/>
      <c r="H978" s="17"/>
    </row>
    <row r="979">
      <c r="D979" s="18"/>
      <c r="H979" s="17"/>
    </row>
    <row r="980">
      <c r="D980" s="18"/>
      <c r="H980" s="17"/>
    </row>
    <row r="981">
      <c r="D981" s="18"/>
      <c r="H981" s="17"/>
    </row>
    <row r="982">
      <c r="D982" s="18"/>
      <c r="H982" s="17"/>
    </row>
    <row r="983">
      <c r="D983" s="18"/>
      <c r="H983" s="17"/>
    </row>
    <row r="984">
      <c r="D984" s="18"/>
      <c r="H984" s="17"/>
    </row>
    <row r="985">
      <c r="D985" s="18"/>
      <c r="H985" s="17"/>
    </row>
    <row r="986">
      <c r="D986" s="18"/>
      <c r="H986" s="17"/>
    </row>
    <row r="987">
      <c r="D987" s="18"/>
      <c r="H987" s="17"/>
    </row>
    <row r="988">
      <c r="D988" s="18"/>
      <c r="H988" s="17"/>
    </row>
    <row r="989">
      <c r="D989" s="18"/>
      <c r="H989" s="17"/>
    </row>
    <row r="990">
      <c r="D990" s="18"/>
      <c r="H990" s="17"/>
    </row>
    <row r="991">
      <c r="D991" s="18"/>
      <c r="H991" s="17"/>
    </row>
    <row r="992">
      <c r="D992" s="18"/>
      <c r="H992" s="17"/>
    </row>
    <row r="993">
      <c r="D993" s="18"/>
      <c r="H993" s="17"/>
    </row>
    <row r="994">
      <c r="D994" s="18"/>
      <c r="H994" s="17"/>
    </row>
    <row r="995">
      <c r="D995" s="18"/>
      <c r="H995" s="17"/>
    </row>
    <row r="996">
      <c r="D996" s="18"/>
      <c r="H996" s="17"/>
    </row>
    <row r="997">
      <c r="D997" s="18"/>
      <c r="H997" s="17"/>
    </row>
    <row r="998">
      <c r="D998" s="18"/>
      <c r="H998" s="17"/>
    </row>
    <row r="999">
      <c r="D999" s="18"/>
      <c r="H999" s="17"/>
    </row>
    <row r="1000">
      <c r="D1000" s="18"/>
      <c r="H1000" s="17"/>
    </row>
    <row r="1001">
      <c r="D1001" s="18"/>
      <c r="H1001" s="17"/>
    </row>
    <row r="1002">
      <c r="D1002" s="18"/>
      <c r="H1002" s="17"/>
    </row>
    <row r="1003">
      <c r="D1003" s="18"/>
      <c r="H1003" s="17"/>
    </row>
    <row r="1004">
      <c r="D1004" s="18"/>
      <c r="H1004" s="17"/>
    </row>
    <row r="1005">
      <c r="D1005" s="18"/>
      <c r="H1005" s="17"/>
    </row>
    <row r="1006">
      <c r="D1006" s="18"/>
      <c r="H1006" s="17"/>
    </row>
    <row r="1007">
      <c r="D1007" s="18"/>
      <c r="H1007" s="17"/>
    </row>
    <row r="1008">
      <c r="D1008" s="18"/>
      <c r="H1008" s="17"/>
    </row>
    <row r="1009">
      <c r="D1009" s="18"/>
      <c r="H1009" s="17"/>
    </row>
    <row r="1010">
      <c r="D1010" s="18"/>
      <c r="H1010" s="17"/>
    </row>
    <row r="1011">
      <c r="D1011" s="18"/>
      <c r="H1011" s="17"/>
    </row>
    <row r="1012">
      <c r="D1012" s="18"/>
      <c r="H1012" s="17"/>
    </row>
    <row r="1013">
      <c r="D1013" s="18"/>
      <c r="H1013" s="17"/>
    </row>
    <row r="1014">
      <c r="D1014" s="18"/>
      <c r="H1014" s="17"/>
    </row>
    <row r="1015">
      <c r="D1015" s="18"/>
      <c r="H1015" s="17"/>
    </row>
    <row r="1016">
      <c r="D1016" s="18"/>
      <c r="H1016" s="17"/>
    </row>
    <row r="1017">
      <c r="D1017" s="18"/>
      <c r="H1017" s="17"/>
    </row>
    <row r="1018">
      <c r="D1018" s="18"/>
      <c r="H1018" s="17"/>
    </row>
    <row r="1019">
      <c r="D1019" s="18"/>
      <c r="H1019" s="17"/>
    </row>
  </sheetData>
  <hyperlinks>
    <hyperlink r:id="rId1" ref="H2"/>
    <hyperlink r:id="rId2" ref="H3"/>
    <hyperlink r:id="rId3" ref="H5"/>
    <hyperlink r:id="rId4" ref="H6"/>
    <hyperlink r:id="rId5" ref="H10"/>
    <hyperlink r:id="rId6" ref="H11"/>
    <hyperlink r:id="rId7" ref="H12"/>
    <hyperlink r:id="rId8" ref="H13"/>
    <hyperlink r:id="rId9" ref="H14"/>
    <hyperlink r:id="rId10" ref="H15"/>
    <hyperlink r:id="rId11" ref="H16"/>
    <hyperlink r:id="rId12" ref="H17"/>
    <hyperlink r:id="rId13" ref="H18"/>
    <hyperlink r:id="rId14" ref="H19"/>
    <hyperlink r:id="rId15" ref="H21"/>
    <hyperlink r:id="rId16" ref="H22"/>
    <hyperlink r:id="rId17" ref="H23"/>
    <hyperlink r:id="rId18" ref="H24"/>
    <hyperlink r:id="rId19" ref="H25"/>
    <hyperlink r:id="rId20" ref="H26"/>
    <hyperlink r:id="rId21" ref="H27"/>
    <hyperlink r:id="rId22" ref="H28"/>
    <hyperlink r:id="rId23" ref="H29"/>
    <hyperlink r:id="rId24" ref="H30"/>
    <hyperlink r:id="rId25" ref="H31"/>
    <hyperlink r:id="rId26" ref="H32"/>
  </hyperlinks>
  <drawing r:id="rId2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12" max="12" width="15.75"/>
    <col customWidth="1" min="13" max="13" width="27.75"/>
  </cols>
  <sheetData>
    <row r="1">
      <c r="A1" s="19" t="s">
        <v>72</v>
      </c>
      <c r="B1" s="19" t="s">
        <v>73</v>
      </c>
      <c r="C1" s="19" t="s">
        <v>74</v>
      </c>
      <c r="D1" s="19" t="s">
        <v>75</v>
      </c>
      <c r="E1" s="19" t="s">
        <v>76</v>
      </c>
      <c r="F1" s="19" t="s">
        <v>77</v>
      </c>
      <c r="G1" s="19" t="s">
        <v>78</v>
      </c>
      <c r="H1" s="19" t="s">
        <v>79</v>
      </c>
      <c r="I1" s="19" t="s">
        <v>80</v>
      </c>
      <c r="J1" s="19" t="s">
        <v>81</v>
      </c>
      <c r="K1" s="19" t="s">
        <v>82</v>
      </c>
      <c r="L1" s="19" t="s">
        <v>83</v>
      </c>
      <c r="M1" s="20" t="s">
        <v>84</v>
      </c>
      <c r="N1" s="20" t="s">
        <v>85</v>
      </c>
      <c r="O1" s="20" t="s">
        <v>86</v>
      </c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</row>
    <row r="2">
      <c r="A2" s="4" t="s">
        <v>87</v>
      </c>
      <c r="B2" s="4">
        <v>625.0</v>
      </c>
      <c r="C2" s="4">
        <v>1042.0</v>
      </c>
      <c r="D2" s="4">
        <v>420.0</v>
      </c>
      <c r="E2" s="4" t="s">
        <v>88</v>
      </c>
      <c r="F2" s="22">
        <f t="shared" ref="F2:F5" si="1">SUM(B2:D2)</f>
        <v>2087</v>
      </c>
      <c r="G2" s="4">
        <v>4.0</v>
      </c>
      <c r="H2" s="22">
        <f t="shared" ref="H2:H29" si="2">F2*G2</f>
        <v>8348</v>
      </c>
      <c r="I2" s="22">
        <f t="shared" ref="I2:I29" si="3">H2/100</f>
        <v>83.48</v>
      </c>
      <c r="J2" s="4">
        <v>10.0</v>
      </c>
      <c r="K2" s="4">
        <f t="shared" ref="K2:K3" si="4">G2*2</f>
        <v>8</v>
      </c>
      <c r="L2" s="4">
        <v>1.0</v>
      </c>
      <c r="M2" s="23" t="s">
        <v>89</v>
      </c>
      <c r="N2" s="24">
        <f>I37</f>
        <v>4.62</v>
      </c>
      <c r="O2" s="23">
        <v>5.0</v>
      </c>
    </row>
    <row r="3">
      <c r="A3" s="4" t="s">
        <v>90</v>
      </c>
      <c r="B3" s="4">
        <v>180.0</v>
      </c>
      <c r="D3" s="4">
        <v>222.0</v>
      </c>
      <c r="E3" s="4" t="s">
        <v>91</v>
      </c>
      <c r="F3" s="22">
        <f t="shared" si="1"/>
        <v>402</v>
      </c>
      <c r="G3" s="4">
        <v>2.0</v>
      </c>
      <c r="H3" s="22">
        <f t="shared" si="2"/>
        <v>804</v>
      </c>
      <c r="I3" s="22">
        <f t="shared" si="3"/>
        <v>8.04</v>
      </c>
      <c r="J3" s="4">
        <v>12.0</v>
      </c>
      <c r="K3" s="4">
        <f t="shared" si="4"/>
        <v>4</v>
      </c>
      <c r="M3" s="23" t="s">
        <v>92</v>
      </c>
      <c r="N3" s="24">
        <f>I36</f>
        <v>2.28</v>
      </c>
      <c r="O3" s="23">
        <v>3.0</v>
      </c>
    </row>
    <row r="4">
      <c r="A4" s="4" t="s">
        <v>91</v>
      </c>
      <c r="B4" s="4">
        <v>6.0</v>
      </c>
      <c r="D4" s="4">
        <v>11.0</v>
      </c>
      <c r="E4" s="4" t="s">
        <v>93</v>
      </c>
      <c r="F4" s="22">
        <f t="shared" si="1"/>
        <v>17</v>
      </c>
      <c r="G4" s="4">
        <v>1.0</v>
      </c>
      <c r="H4" s="22">
        <f t="shared" si="2"/>
        <v>17</v>
      </c>
      <c r="I4" s="22">
        <f t="shared" si="3"/>
        <v>0.17</v>
      </c>
      <c r="J4" s="4">
        <v>12.0</v>
      </c>
      <c r="K4" s="4">
        <v>4.0</v>
      </c>
      <c r="M4" s="23" t="s">
        <v>94</v>
      </c>
      <c r="N4" s="23">
        <f>I2</f>
        <v>83.48</v>
      </c>
      <c r="O4" s="23" t="s">
        <v>95</v>
      </c>
    </row>
    <row r="5">
      <c r="A5" s="4" t="s">
        <v>93</v>
      </c>
      <c r="B5" s="4">
        <v>90.0</v>
      </c>
      <c r="D5" s="4">
        <v>62.0</v>
      </c>
      <c r="E5" s="4" t="s">
        <v>96</v>
      </c>
      <c r="F5" s="22">
        <f t="shared" si="1"/>
        <v>152</v>
      </c>
      <c r="G5" s="4">
        <v>1.0</v>
      </c>
      <c r="H5" s="22">
        <f t="shared" si="2"/>
        <v>152</v>
      </c>
      <c r="I5" s="22">
        <f t="shared" si="3"/>
        <v>1.52</v>
      </c>
      <c r="J5" s="4">
        <v>12.0</v>
      </c>
      <c r="K5" s="4">
        <f t="shared" ref="K5:K6" si="5">G5*2</f>
        <v>2</v>
      </c>
      <c r="L5" s="4">
        <v>1.0</v>
      </c>
      <c r="M5" s="23" t="s">
        <v>97</v>
      </c>
      <c r="N5" s="24">
        <f>SUM(I3:I35)</f>
        <v>84.5</v>
      </c>
      <c r="O5" s="23" t="s">
        <v>95</v>
      </c>
    </row>
    <row r="6">
      <c r="A6" s="4" t="s">
        <v>98</v>
      </c>
      <c r="B6" s="4">
        <v>180.0</v>
      </c>
      <c r="D6" s="4">
        <v>242.0</v>
      </c>
      <c r="E6" s="4" t="s">
        <v>99</v>
      </c>
      <c r="F6" s="22">
        <f t="shared" ref="F6:F29" si="6">SUM(B6:E6)</f>
        <v>422</v>
      </c>
      <c r="G6" s="4">
        <v>2.0</v>
      </c>
      <c r="H6" s="22">
        <f t="shared" si="2"/>
        <v>844</v>
      </c>
      <c r="I6" s="22">
        <f t="shared" si="3"/>
        <v>8.44</v>
      </c>
      <c r="J6" s="4">
        <v>12.0</v>
      </c>
      <c r="K6" s="4">
        <f t="shared" si="5"/>
        <v>4</v>
      </c>
      <c r="M6" s="23" t="s">
        <v>100</v>
      </c>
      <c r="N6" s="23">
        <v>8.0</v>
      </c>
      <c r="O6" s="23">
        <v>10.0</v>
      </c>
    </row>
    <row r="7">
      <c r="A7" s="4" t="s">
        <v>99</v>
      </c>
      <c r="B7" s="4">
        <v>6.0</v>
      </c>
      <c r="D7" s="4">
        <v>11.0</v>
      </c>
      <c r="E7" s="4" t="s">
        <v>101</v>
      </c>
      <c r="F7" s="22">
        <f t="shared" si="6"/>
        <v>17</v>
      </c>
      <c r="G7" s="4">
        <v>1.0</v>
      </c>
      <c r="H7" s="22">
        <f t="shared" si="2"/>
        <v>17</v>
      </c>
      <c r="I7" s="22">
        <f t="shared" si="3"/>
        <v>0.17</v>
      </c>
      <c r="J7" s="4">
        <v>12.0</v>
      </c>
      <c r="K7" s="4">
        <v>4.0</v>
      </c>
      <c r="M7" s="23" t="s">
        <v>102</v>
      </c>
      <c r="N7" s="24">
        <f>SUM(K3:K35)</f>
        <v>136</v>
      </c>
      <c r="O7" s="23" t="s">
        <v>103</v>
      </c>
    </row>
    <row r="8">
      <c r="A8" s="4" t="s">
        <v>101</v>
      </c>
      <c r="C8" s="4">
        <v>99.0</v>
      </c>
      <c r="E8" s="4" t="s">
        <v>104</v>
      </c>
      <c r="F8" s="22">
        <f t="shared" si="6"/>
        <v>99</v>
      </c>
      <c r="G8" s="4">
        <v>2.0</v>
      </c>
      <c r="H8" s="22">
        <f t="shared" si="2"/>
        <v>198</v>
      </c>
      <c r="I8" s="22">
        <f t="shared" si="3"/>
        <v>1.98</v>
      </c>
      <c r="J8" s="4">
        <v>12.0</v>
      </c>
      <c r="K8" s="4">
        <f t="shared" ref="K8:K9" si="7">G8*2</f>
        <v>4</v>
      </c>
      <c r="M8" s="23" t="s">
        <v>105</v>
      </c>
      <c r="N8" s="23">
        <v>4.0</v>
      </c>
      <c r="O8" s="23">
        <v>6.0</v>
      </c>
    </row>
    <row r="9">
      <c r="A9" s="4" t="s">
        <v>106</v>
      </c>
      <c r="B9" s="4">
        <v>180.0</v>
      </c>
      <c r="D9" s="4">
        <v>250.0</v>
      </c>
      <c r="E9" s="4" t="s">
        <v>107</v>
      </c>
      <c r="F9" s="22">
        <f t="shared" si="6"/>
        <v>430</v>
      </c>
      <c r="G9" s="4">
        <v>2.0</v>
      </c>
      <c r="H9" s="22">
        <f t="shared" si="2"/>
        <v>860</v>
      </c>
      <c r="I9" s="22">
        <f t="shared" si="3"/>
        <v>8.6</v>
      </c>
      <c r="J9" s="4">
        <v>12.0</v>
      </c>
      <c r="K9" s="4">
        <f t="shared" si="7"/>
        <v>4</v>
      </c>
    </row>
    <row r="10">
      <c r="A10" s="4" t="s">
        <v>107</v>
      </c>
      <c r="B10" s="4">
        <v>6.0</v>
      </c>
      <c r="D10" s="4">
        <v>11.0</v>
      </c>
      <c r="E10" s="4" t="s">
        <v>108</v>
      </c>
      <c r="F10" s="22">
        <f t="shared" si="6"/>
        <v>17</v>
      </c>
      <c r="G10" s="4">
        <v>1.0</v>
      </c>
      <c r="H10" s="22">
        <f t="shared" si="2"/>
        <v>17</v>
      </c>
      <c r="I10" s="22">
        <f t="shared" si="3"/>
        <v>0.17</v>
      </c>
      <c r="J10" s="4">
        <v>12.0</v>
      </c>
      <c r="K10" s="4">
        <v>4.0</v>
      </c>
    </row>
    <row r="11">
      <c r="A11" s="4" t="s">
        <v>108</v>
      </c>
      <c r="C11" s="4">
        <v>120.0</v>
      </c>
      <c r="E11" s="4" t="s">
        <v>109</v>
      </c>
      <c r="F11" s="22">
        <f t="shared" si="6"/>
        <v>120</v>
      </c>
      <c r="G11" s="4">
        <v>2.0</v>
      </c>
      <c r="H11" s="22">
        <f t="shared" si="2"/>
        <v>240</v>
      </c>
      <c r="I11" s="22">
        <f t="shared" si="3"/>
        <v>2.4</v>
      </c>
      <c r="J11" s="4">
        <v>12.0</v>
      </c>
      <c r="K11" s="4">
        <f t="shared" ref="K11:K12" si="8">G11*2</f>
        <v>4</v>
      </c>
    </row>
    <row r="12">
      <c r="A12" s="4" t="s">
        <v>110</v>
      </c>
      <c r="D12" s="4">
        <v>218.0</v>
      </c>
      <c r="E12" s="4" t="s">
        <v>111</v>
      </c>
      <c r="F12" s="22">
        <f t="shared" si="6"/>
        <v>218</v>
      </c>
      <c r="G12" s="4">
        <v>2.0</v>
      </c>
      <c r="H12" s="22">
        <f t="shared" si="2"/>
        <v>436</v>
      </c>
      <c r="I12" s="22">
        <f t="shared" si="3"/>
        <v>4.36</v>
      </c>
      <c r="J12" s="4">
        <v>12.0</v>
      </c>
      <c r="K12" s="4">
        <f t="shared" si="8"/>
        <v>4</v>
      </c>
    </row>
    <row r="13">
      <c r="A13" s="4" t="s">
        <v>111</v>
      </c>
      <c r="B13" s="4">
        <v>6.0</v>
      </c>
      <c r="D13" s="4">
        <v>11.0</v>
      </c>
      <c r="E13" s="4" t="s">
        <v>112</v>
      </c>
      <c r="F13" s="22">
        <f t="shared" si="6"/>
        <v>17</v>
      </c>
      <c r="G13" s="4">
        <v>1.0</v>
      </c>
      <c r="H13" s="22">
        <f t="shared" si="2"/>
        <v>17</v>
      </c>
      <c r="I13" s="22">
        <f t="shared" si="3"/>
        <v>0.17</v>
      </c>
      <c r="J13" s="4">
        <v>12.0</v>
      </c>
      <c r="K13" s="4">
        <v>4.0</v>
      </c>
    </row>
    <row r="14">
      <c r="A14" s="4" t="s">
        <v>112</v>
      </c>
      <c r="B14" s="4">
        <v>100.0</v>
      </c>
      <c r="D14" s="4">
        <v>77.0</v>
      </c>
      <c r="E14" s="4" t="s">
        <v>96</v>
      </c>
      <c r="F14" s="22">
        <f t="shared" si="6"/>
        <v>177</v>
      </c>
      <c r="G14" s="4">
        <v>1.0</v>
      </c>
      <c r="H14" s="22">
        <f t="shared" si="2"/>
        <v>177</v>
      </c>
      <c r="I14" s="22">
        <f t="shared" si="3"/>
        <v>1.77</v>
      </c>
      <c r="J14" s="4">
        <v>12.0</v>
      </c>
      <c r="K14" s="4">
        <f t="shared" ref="K14:K15" si="9">G14*2</f>
        <v>2</v>
      </c>
      <c r="L14" s="4">
        <v>1.0</v>
      </c>
    </row>
    <row r="15">
      <c r="A15" s="4" t="s">
        <v>113</v>
      </c>
      <c r="C15" s="4">
        <v>209.0</v>
      </c>
      <c r="E15" s="4" t="s">
        <v>114</v>
      </c>
      <c r="F15" s="22">
        <f t="shared" si="6"/>
        <v>209</v>
      </c>
      <c r="G15" s="4">
        <v>2.0</v>
      </c>
      <c r="H15" s="22">
        <f t="shared" si="2"/>
        <v>418</v>
      </c>
      <c r="I15" s="22">
        <f t="shared" si="3"/>
        <v>4.18</v>
      </c>
      <c r="J15" s="4">
        <v>12.0</v>
      </c>
      <c r="K15" s="4">
        <f t="shared" si="9"/>
        <v>4</v>
      </c>
    </row>
    <row r="16">
      <c r="A16" s="4" t="s">
        <v>114</v>
      </c>
      <c r="B16" s="4">
        <v>6.0</v>
      </c>
      <c r="D16" s="4">
        <v>11.0</v>
      </c>
      <c r="E16" s="4" t="s">
        <v>115</v>
      </c>
      <c r="F16" s="22">
        <f t="shared" si="6"/>
        <v>17</v>
      </c>
      <c r="G16" s="4">
        <v>1.0</v>
      </c>
      <c r="H16" s="22">
        <f t="shared" si="2"/>
        <v>17</v>
      </c>
      <c r="I16" s="22">
        <f t="shared" si="3"/>
        <v>0.17</v>
      </c>
      <c r="J16" s="4">
        <v>12.0</v>
      </c>
      <c r="K16" s="4">
        <v>4.0</v>
      </c>
    </row>
    <row r="17">
      <c r="A17" s="4" t="s">
        <v>115</v>
      </c>
      <c r="C17" s="4">
        <v>108.0</v>
      </c>
      <c r="E17" s="4" t="s">
        <v>116</v>
      </c>
      <c r="F17" s="22">
        <f t="shared" si="6"/>
        <v>108</v>
      </c>
      <c r="G17" s="4">
        <v>2.0</v>
      </c>
      <c r="H17" s="22">
        <f t="shared" si="2"/>
        <v>216</v>
      </c>
      <c r="I17" s="22">
        <f t="shared" si="3"/>
        <v>2.16</v>
      </c>
      <c r="J17" s="4">
        <v>12.0</v>
      </c>
      <c r="K17" s="4">
        <f t="shared" ref="K17:K18" si="10">G17*2</f>
        <v>4</v>
      </c>
    </row>
    <row r="18">
      <c r="A18" s="4" t="s">
        <v>117</v>
      </c>
      <c r="C18" s="4">
        <v>200.0</v>
      </c>
      <c r="E18" s="4" t="s">
        <v>118</v>
      </c>
      <c r="F18" s="22">
        <f t="shared" si="6"/>
        <v>200</v>
      </c>
      <c r="G18" s="4">
        <v>2.0</v>
      </c>
      <c r="H18" s="22">
        <f t="shared" si="2"/>
        <v>400</v>
      </c>
      <c r="I18" s="22">
        <f t="shared" si="3"/>
        <v>4</v>
      </c>
      <c r="J18" s="4">
        <v>12.0</v>
      </c>
      <c r="K18" s="4">
        <f t="shared" si="10"/>
        <v>4</v>
      </c>
    </row>
    <row r="19">
      <c r="A19" s="4" t="s">
        <v>118</v>
      </c>
      <c r="B19" s="4">
        <v>6.0</v>
      </c>
      <c r="D19" s="4">
        <v>11.0</v>
      </c>
      <c r="E19" s="4" t="s">
        <v>119</v>
      </c>
      <c r="F19" s="22">
        <f t="shared" si="6"/>
        <v>17</v>
      </c>
      <c r="G19" s="4">
        <v>1.0</v>
      </c>
      <c r="H19" s="22">
        <f t="shared" si="2"/>
        <v>17</v>
      </c>
      <c r="I19" s="22">
        <f t="shared" si="3"/>
        <v>0.17</v>
      </c>
      <c r="J19" s="4">
        <v>12.0</v>
      </c>
      <c r="K19" s="4">
        <v>4.0</v>
      </c>
    </row>
    <row r="20">
      <c r="A20" s="4" t="s">
        <v>119</v>
      </c>
      <c r="C20" s="4">
        <v>113.0</v>
      </c>
      <c r="E20" s="4" t="s">
        <v>120</v>
      </c>
      <c r="F20" s="22">
        <f t="shared" si="6"/>
        <v>113</v>
      </c>
      <c r="G20" s="4">
        <v>2.0</v>
      </c>
      <c r="H20" s="22">
        <f t="shared" si="2"/>
        <v>226</v>
      </c>
      <c r="I20" s="22">
        <f t="shared" si="3"/>
        <v>2.26</v>
      </c>
      <c r="J20" s="4">
        <v>12.0</v>
      </c>
      <c r="K20" s="4">
        <f t="shared" ref="K20:K21" si="11">G20*2</f>
        <v>4</v>
      </c>
    </row>
    <row r="21">
      <c r="A21" s="4" t="s">
        <v>121</v>
      </c>
      <c r="C21" s="4">
        <v>146.0</v>
      </c>
      <c r="E21" s="4" t="s">
        <v>122</v>
      </c>
      <c r="F21" s="22">
        <f t="shared" si="6"/>
        <v>146</v>
      </c>
      <c r="G21" s="4">
        <v>2.0</v>
      </c>
      <c r="H21" s="22">
        <f t="shared" si="2"/>
        <v>292</v>
      </c>
      <c r="I21" s="22">
        <f t="shared" si="3"/>
        <v>2.92</v>
      </c>
      <c r="J21" s="4">
        <v>12.0</v>
      </c>
      <c r="K21" s="4">
        <f t="shared" si="11"/>
        <v>4</v>
      </c>
    </row>
    <row r="22">
      <c r="A22" s="4" t="s">
        <v>122</v>
      </c>
      <c r="B22" s="4">
        <v>6.0</v>
      </c>
      <c r="D22" s="4">
        <v>11.0</v>
      </c>
      <c r="E22" s="4" t="s">
        <v>123</v>
      </c>
      <c r="F22" s="22">
        <f t="shared" si="6"/>
        <v>17</v>
      </c>
      <c r="G22" s="4">
        <v>1.0</v>
      </c>
      <c r="H22" s="22">
        <f t="shared" si="2"/>
        <v>17</v>
      </c>
      <c r="I22" s="22">
        <f t="shared" si="3"/>
        <v>0.17</v>
      </c>
      <c r="J22" s="4">
        <v>12.0</v>
      </c>
      <c r="K22" s="4">
        <v>4.0</v>
      </c>
    </row>
    <row r="23">
      <c r="A23" s="4" t="s">
        <v>123</v>
      </c>
      <c r="C23" s="4">
        <v>139.0</v>
      </c>
      <c r="E23" s="4" t="s">
        <v>96</v>
      </c>
      <c r="F23" s="22">
        <f t="shared" si="6"/>
        <v>139</v>
      </c>
      <c r="G23" s="4">
        <v>2.0</v>
      </c>
      <c r="H23" s="22">
        <f t="shared" si="2"/>
        <v>278</v>
      </c>
      <c r="I23" s="22">
        <f t="shared" si="3"/>
        <v>2.78</v>
      </c>
      <c r="J23" s="4">
        <v>12.0</v>
      </c>
      <c r="K23" s="4">
        <f t="shared" ref="K23:K24" si="12">G23*2</f>
        <v>4</v>
      </c>
      <c r="L23" s="4">
        <v>1.0</v>
      </c>
    </row>
    <row r="24">
      <c r="A24" s="4" t="s">
        <v>124</v>
      </c>
      <c r="C24" s="4">
        <v>142.0</v>
      </c>
      <c r="E24" s="4" t="s">
        <v>125</v>
      </c>
      <c r="F24" s="22">
        <f t="shared" si="6"/>
        <v>142</v>
      </c>
      <c r="G24" s="4">
        <v>2.0</v>
      </c>
      <c r="H24" s="22">
        <f t="shared" si="2"/>
        <v>284</v>
      </c>
      <c r="I24" s="22">
        <f t="shared" si="3"/>
        <v>2.84</v>
      </c>
      <c r="J24" s="4">
        <v>12.0</v>
      </c>
      <c r="K24" s="4">
        <f t="shared" si="12"/>
        <v>4</v>
      </c>
    </row>
    <row r="25">
      <c r="A25" s="4" t="s">
        <v>125</v>
      </c>
      <c r="B25" s="4">
        <v>6.0</v>
      </c>
      <c r="D25" s="4">
        <v>11.0</v>
      </c>
      <c r="E25" s="4" t="s">
        <v>126</v>
      </c>
      <c r="F25" s="22">
        <f t="shared" si="6"/>
        <v>17</v>
      </c>
      <c r="G25" s="4">
        <v>1.0</v>
      </c>
      <c r="H25" s="22">
        <f t="shared" si="2"/>
        <v>17</v>
      </c>
      <c r="I25" s="22">
        <f t="shared" si="3"/>
        <v>0.17</v>
      </c>
      <c r="J25" s="4">
        <v>12.0</v>
      </c>
      <c r="K25" s="4">
        <v>4.0</v>
      </c>
    </row>
    <row r="26">
      <c r="A26" s="4" t="s">
        <v>126</v>
      </c>
      <c r="C26" s="4">
        <v>91.0</v>
      </c>
      <c r="E26" s="4" t="s">
        <v>127</v>
      </c>
      <c r="F26" s="22">
        <f t="shared" si="6"/>
        <v>91</v>
      </c>
      <c r="G26" s="4">
        <v>2.0</v>
      </c>
      <c r="H26" s="22">
        <f t="shared" si="2"/>
        <v>182</v>
      </c>
      <c r="I26" s="22">
        <f t="shared" si="3"/>
        <v>1.82</v>
      </c>
      <c r="J26" s="4">
        <v>12.0</v>
      </c>
      <c r="K26" s="4">
        <f t="shared" ref="K26:K27" si="13">G26*2</f>
        <v>4</v>
      </c>
    </row>
    <row r="27">
      <c r="A27" s="4" t="s">
        <v>128</v>
      </c>
      <c r="C27" s="4">
        <v>121.0</v>
      </c>
      <c r="E27" s="4" t="s">
        <v>129</v>
      </c>
      <c r="F27" s="22">
        <f t="shared" si="6"/>
        <v>121</v>
      </c>
      <c r="G27" s="4">
        <v>2.0</v>
      </c>
      <c r="H27" s="22">
        <f t="shared" si="2"/>
        <v>242</v>
      </c>
      <c r="I27" s="22">
        <f t="shared" si="3"/>
        <v>2.42</v>
      </c>
      <c r="J27" s="4">
        <v>12.0</v>
      </c>
      <c r="K27" s="4">
        <f t="shared" si="13"/>
        <v>4</v>
      </c>
      <c r="L27" s="4">
        <v>1.0</v>
      </c>
    </row>
    <row r="28">
      <c r="A28" s="4" t="s">
        <v>129</v>
      </c>
      <c r="B28" s="4">
        <v>6.0</v>
      </c>
      <c r="D28" s="4">
        <v>11.0</v>
      </c>
      <c r="E28" s="4" t="s">
        <v>130</v>
      </c>
      <c r="F28" s="22">
        <f t="shared" si="6"/>
        <v>17</v>
      </c>
      <c r="G28" s="4">
        <v>1.0</v>
      </c>
      <c r="H28" s="22">
        <f t="shared" si="2"/>
        <v>17</v>
      </c>
      <c r="I28" s="22">
        <f t="shared" si="3"/>
        <v>0.17</v>
      </c>
      <c r="J28" s="4">
        <v>12.0</v>
      </c>
      <c r="K28" s="4">
        <v>4.0</v>
      </c>
    </row>
    <row r="29">
      <c r="A29" s="4" t="s">
        <v>130</v>
      </c>
      <c r="C29" s="4">
        <v>94.0</v>
      </c>
      <c r="E29" s="4" t="s">
        <v>131</v>
      </c>
      <c r="F29" s="22">
        <f t="shared" si="6"/>
        <v>94</v>
      </c>
      <c r="G29" s="4">
        <v>2.0</v>
      </c>
      <c r="H29" s="22">
        <f t="shared" si="2"/>
        <v>188</v>
      </c>
      <c r="I29" s="22">
        <f t="shared" si="3"/>
        <v>1.88</v>
      </c>
      <c r="J29" s="4">
        <v>12.0</v>
      </c>
      <c r="K29" s="4">
        <f>G29*2</f>
        <v>4</v>
      </c>
    </row>
    <row r="30">
      <c r="K30" s="4"/>
    </row>
    <row r="31">
      <c r="A31" s="4" t="s">
        <v>132</v>
      </c>
      <c r="B31" s="4">
        <v>19.0</v>
      </c>
      <c r="D31" s="4">
        <v>23.0</v>
      </c>
      <c r="E31" s="4" t="s">
        <v>133</v>
      </c>
      <c r="F31" s="22">
        <f t="shared" ref="F31:F37" si="14">SUM(B31:D31)</f>
        <v>42</v>
      </c>
      <c r="G31" s="4">
        <v>4.0</v>
      </c>
      <c r="H31" s="22">
        <f t="shared" ref="H31:H37" si="15">F31*G31</f>
        <v>168</v>
      </c>
      <c r="I31" s="22">
        <f t="shared" ref="I31:I37" si="16">H31/100</f>
        <v>1.68</v>
      </c>
      <c r="J31" s="4">
        <v>12.0</v>
      </c>
      <c r="K31" s="4">
        <v>16.0</v>
      </c>
    </row>
    <row r="32">
      <c r="A32" s="4" t="s">
        <v>93</v>
      </c>
      <c r="C32" s="4">
        <v>188.0</v>
      </c>
      <c r="E32" s="4" t="s">
        <v>134</v>
      </c>
      <c r="F32" s="22">
        <f t="shared" si="14"/>
        <v>188</v>
      </c>
      <c r="G32" s="4">
        <v>2.0</v>
      </c>
      <c r="H32" s="22">
        <f t="shared" si="15"/>
        <v>376</v>
      </c>
      <c r="I32" s="22">
        <f t="shared" si="16"/>
        <v>3.76</v>
      </c>
      <c r="J32" s="4">
        <v>12.0</v>
      </c>
      <c r="K32" s="4">
        <f t="shared" ref="K32:K35" si="17">G32*2</f>
        <v>4</v>
      </c>
    </row>
    <row r="33">
      <c r="A33" s="4" t="s">
        <v>99</v>
      </c>
      <c r="B33" s="4">
        <f>14+49+55+72+6</f>
        <v>196</v>
      </c>
      <c r="D33" s="4">
        <v>202.0</v>
      </c>
      <c r="E33" s="4" t="s">
        <v>135</v>
      </c>
      <c r="F33" s="22">
        <f t="shared" si="14"/>
        <v>398</v>
      </c>
      <c r="G33" s="4">
        <v>2.0</v>
      </c>
      <c r="H33" s="22">
        <f t="shared" si="15"/>
        <v>796</v>
      </c>
      <c r="I33" s="22">
        <f t="shared" si="16"/>
        <v>7.96</v>
      </c>
      <c r="J33" s="4">
        <v>12.0</v>
      </c>
      <c r="K33" s="4">
        <f t="shared" si="17"/>
        <v>4</v>
      </c>
    </row>
    <row r="34">
      <c r="A34" s="4" t="s">
        <v>107</v>
      </c>
      <c r="C34" s="4">
        <v>31.0</v>
      </c>
      <c r="E34" s="4" t="s">
        <v>136</v>
      </c>
      <c r="F34" s="22">
        <f t="shared" si="14"/>
        <v>31</v>
      </c>
      <c r="G34" s="4">
        <v>2.0</v>
      </c>
      <c r="H34" s="22">
        <f t="shared" si="15"/>
        <v>62</v>
      </c>
      <c r="I34" s="22">
        <f t="shared" si="16"/>
        <v>0.62</v>
      </c>
      <c r="J34" s="4">
        <v>12.0</v>
      </c>
      <c r="K34" s="4">
        <f t="shared" si="17"/>
        <v>4</v>
      </c>
    </row>
    <row r="35">
      <c r="A35" s="4" t="s">
        <v>136</v>
      </c>
      <c r="C35" s="4">
        <v>229.0</v>
      </c>
      <c r="E35" s="4" t="s">
        <v>137</v>
      </c>
      <c r="F35" s="22">
        <f t="shared" si="14"/>
        <v>229</v>
      </c>
      <c r="G35" s="4">
        <v>2.0</v>
      </c>
      <c r="H35" s="22">
        <f t="shared" si="15"/>
        <v>458</v>
      </c>
      <c r="I35" s="22">
        <f t="shared" si="16"/>
        <v>4.58</v>
      </c>
      <c r="J35" s="4">
        <v>12.0</v>
      </c>
      <c r="K35" s="4">
        <f t="shared" si="17"/>
        <v>4</v>
      </c>
      <c r="L35" s="4">
        <v>1.0</v>
      </c>
    </row>
    <row r="36">
      <c r="A36" s="4" t="s">
        <v>138</v>
      </c>
      <c r="C36" s="4">
        <v>114.0</v>
      </c>
      <c r="E36" s="4" t="s">
        <v>137</v>
      </c>
      <c r="F36" s="22">
        <f t="shared" si="14"/>
        <v>114</v>
      </c>
      <c r="G36" s="4">
        <v>2.0</v>
      </c>
      <c r="H36" s="22">
        <f t="shared" si="15"/>
        <v>228</v>
      </c>
      <c r="I36" s="22">
        <f t="shared" si="16"/>
        <v>2.28</v>
      </c>
      <c r="J36" s="4">
        <v>8.0</v>
      </c>
      <c r="K36" s="4">
        <v>4.0</v>
      </c>
    </row>
    <row r="37">
      <c r="A37" s="4" t="s">
        <v>139</v>
      </c>
      <c r="B37" s="4">
        <v>92.0</v>
      </c>
      <c r="D37" s="4">
        <v>139.0</v>
      </c>
      <c r="E37" s="4" t="s">
        <v>140</v>
      </c>
      <c r="F37" s="22">
        <f t="shared" si="14"/>
        <v>231</v>
      </c>
      <c r="G37" s="4">
        <v>2.0</v>
      </c>
      <c r="H37" s="22">
        <f t="shared" si="15"/>
        <v>462</v>
      </c>
      <c r="I37" s="22">
        <f t="shared" si="16"/>
        <v>4.62</v>
      </c>
      <c r="J37" s="4" t="s">
        <v>141</v>
      </c>
      <c r="K37" s="4"/>
    </row>
    <row r="40">
      <c r="A40" s="4" t="s">
        <v>142</v>
      </c>
      <c r="B40" s="4">
        <v>180.0</v>
      </c>
      <c r="C40" s="4">
        <v>90.0</v>
      </c>
      <c r="D40" s="4">
        <v>222.0</v>
      </c>
      <c r="E40" s="4" t="s">
        <v>143</v>
      </c>
      <c r="F40" s="22">
        <f t="shared" ref="F40:F44" si="18">SUM(B40:D40)</f>
        <v>492</v>
      </c>
      <c r="G40" s="4">
        <v>1.0</v>
      </c>
      <c r="H40" s="22">
        <f t="shared" ref="H40:H44" si="19">F40*G40</f>
        <v>492</v>
      </c>
      <c r="I40" s="22">
        <f t="shared" ref="I40:I44" si="20">H40/100</f>
        <v>4.92</v>
      </c>
      <c r="J40" s="4">
        <v>12.0</v>
      </c>
      <c r="K40" s="4">
        <v>1.0</v>
      </c>
      <c r="L40" s="4">
        <v>1.0</v>
      </c>
    </row>
    <row r="41">
      <c r="A41" s="4" t="s">
        <v>138</v>
      </c>
      <c r="B41" s="4">
        <v>218.0</v>
      </c>
      <c r="C41" s="4">
        <v>90.0</v>
      </c>
      <c r="E41" s="4" t="s">
        <v>143</v>
      </c>
      <c r="F41" s="22">
        <f t="shared" si="18"/>
        <v>308</v>
      </c>
      <c r="G41" s="4">
        <v>1.0</v>
      </c>
      <c r="H41" s="22">
        <f t="shared" si="19"/>
        <v>308</v>
      </c>
      <c r="I41" s="22">
        <f t="shared" si="20"/>
        <v>3.08</v>
      </c>
      <c r="J41" s="4">
        <v>12.0</v>
      </c>
      <c r="K41" s="4">
        <v>1.0</v>
      </c>
      <c r="L41" s="4">
        <v>1.0</v>
      </c>
    </row>
    <row r="42">
      <c r="A42" s="4" t="s">
        <v>134</v>
      </c>
      <c r="B42" s="4">
        <v>146.0</v>
      </c>
      <c r="C42" s="4">
        <v>90.0</v>
      </c>
      <c r="E42" s="4" t="s">
        <v>143</v>
      </c>
      <c r="F42" s="22">
        <f t="shared" si="18"/>
        <v>236</v>
      </c>
      <c r="G42" s="4">
        <v>1.0</v>
      </c>
      <c r="H42" s="22">
        <f t="shared" si="19"/>
        <v>236</v>
      </c>
      <c r="I42" s="22">
        <f t="shared" si="20"/>
        <v>2.36</v>
      </c>
      <c r="J42" s="4">
        <v>12.0</v>
      </c>
      <c r="K42" s="4">
        <v>1.0</v>
      </c>
      <c r="L42" s="4">
        <v>1.0</v>
      </c>
    </row>
    <row r="43">
      <c r="A43" s="4" t="s">
        <v>144</v>
      </c>
      <c r="B43" s="4">
        <v>120.0</v>
      </c>
      <c r="C43" s="4">
        <v>114.0</v>
      </c>
      <c r="D43" s="4">
        <v>308.0</v>
      </c>
      <c r="E43" s="4" t="s">
        <v>143</v>
      </c>
      <c r="F43" s="22">
        <f t="shared" si="18"/>
        <v>542</v>
      </c>
      <c r="G43" s="4">
        <v>1.0</v>
      </c>
      <c r="H43" s="22">
        <f t="shared" si="19"/>
        <v>542</v>
      </c>
      <c r="I43" s="22">
        <f t="shared" si="20"/>
        <v>5.42</v>
      </c>
      <c r="J43" s="4">
        <v>12.0</v>
      </c>
      <c r="K43" s="4">
        <v>1.0</v>
      </c>
      <c r="L43" s="4">
        <v>1.0</v>
      </c>
    </row>
    <row r="44">
      <c r="A44" s="4" t="s">
        <v>145</v>
      </c>
      <c r="B44" s="4">
        <v>190.0</v>
      </c>
      <c r="C44" s="4">
        <v>114.0</v>
      </c>
      <c r="E44" s="4" t="s">
        <v>143</v>
      </c>
      <c r="F44" s="22">
        <f t="shared" si="18"/>
        <v>304</v>
      </c>
      <c r="G44" s="4">
        <v>1.0</v>
      </c>
      <c r="H44" s="22">
        <f t="shared" si="19"/>
        <v>304</v>
      </c>
      <c r="I44" s="22">
        <f t="shared" si="20"/>
        <v>3.04</v>
      </c>
      <c r="J44" s="4">
        <v>12.0</v>
      </c>
      <c r="K44" s="4">
        <v>1.0</v>
      </c>
      <c r="L44" s="4">
        <v>1.0</v>
      </c>
    </row>
    <row r="45">
      <c r="I45" s="22">
        <f>SUM(I40:I44)</f>
        <v>18.82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4" max="4" width="14.88"/>
  </cols>
  <sheetData>
    <row r="1">
      <c r="A1" s="4" t="s">
        <v>146</v>
      </c>
      <c r="B1" s="4" t="s">
        <v>147</v>
      </c>
      <c r="C1" s="4" t="s">
        <v>148</v>
      </c>
      <c r="D1" s="4" t="s">
        <v>149</v>
      </c>
      <c r="E1" s="4" t="s">
        <v>148</v>
      </c>
      <c r="G1" s="22">
        <f>SUM(E2:E16)</f>
        <v>87</v>
      </c>
    </row>
    <row r="2">
      <c r="A2" s="4" t="s">
        <v>150</v>
      </c>
      <c r="B2" s="4" t="s">
        <v>151</v>
      </c>
      <c r="C2" s="4">
        <v>4.0</v>
      </c>
      <c r="D2" s="4" t="s">
        <v>152</v>
      </c>
      <c r="E2" s="4">
        <v>4.0</v>
      </c>
    </row>
    <row r="3">
      <c r="A3" s="4" t="s">
        <v>153</v>
      </c>
      <c r="B3" s="4" t="s">
        <v>151</v>
      </c>
      <c r="C3" s="4">
        <v>4.0</v>
      </c>
      <c r="D3" s="4" t="s">
        <v>152</v>
      </c>
      <c r="E3" s="4">
        <v>4.0</v>
      </c>
    </row>
    <row r="4">
      <c r="A4" s="4" t="s">
        <v>154</v>
      </c>
      <c r="B4" s="4" t="s">
        <v>151</v>
      </c>
      <c r="C4" s="4">
        <v>11.0</v>
      </c>
      <c r="D4" s="4" t="s">
        <v>152</v>
      </c>
      <c r="E4" s="4">
        <v>11.0</v>
      </c>
    </row>
    <row r="5">
      <c r="A5" s="4" t="s">
        <v>155</v>
      </c>
      <c r="C5" s="4">
        <v>24.0</v>
      </c>
      <c r="E5" s="4">
        <v>24.0</v>
      </c>
    </row>
    <row r="6">
      <c r="A6" s="4" t="s">
        <v>156</v>
      </c>
      <c r="C6" s="4">
        <v>4.0</v>
      </c>
      <c r="E6" s="4">
        <v>4.0</v>
      </c>
    </row>
    <row r="7">
      <c r="A7" s="4" t="s">
        <v>96</v>
      </c>
      <c r="C7" s="4">
        <v>6.0</v>
      </c>
      <c r="E7" s="4">
        <v>6.0</v>
      </c>
    </row>
    <row r="8">
      <c r="A8" s="4" t="s">
        <v>157</v>
      </c>
      <c r="C8" s="4">
        <v>6.0</v>
      </c>
      <c r="E8" s="4">
        <v>6.0</v>
      </c>
    </row>
    <row r="9">
      <c r="A9" s="4" t="s">
        <v>158</v>
      </c>
      <c r="C9" s="4">
        <v>4.0</v>
      </c>
      <c r="E9" s="4">
        <v>4.0</v>
      </c>
    </row>
    <row r="10">
      <c r="A10" s="4" t="s">
        <v>159</v>
      </c>
      <c r="C10" s="4">
        <v>16.0</v>
      </c>
      <c r="E10" s="4">
        <v>16.0</v>
      </c>
    </row>
    <row r="11">
      <c r="A11" s="4" t="s">
        <v>160</v>
      </c>
      <c r="C11" s="4">
        <v>8.0</v>
      </c>
      <c r="E11" s="4">
        <v>8.0</v>
      </c>
    </row>
    <row r="19">
      <c r="A19" s="4">
        <v>705025.0</v>
      </c>
      <c r="B19" s="4">
        <v>550000.0</v>
      </c>
    </row>
    <row r="20">
      <c r="A20" s="4" t="s">
        <v>161</v>
      </c>
      <c r="B20" s="4">
        <v>65000.0</v>
      </c>
    </row>
    <row r="21">
      <c r="A21" s="4" t="s">
        <v>162</v>
      </c>
      <c r="B21" s="4">
        <v>350000.0</v>
      </c>
      <c r="C21" s="4" t="s">
        <v>163</v>
      </c>
    </row>
  </sheetData>
  <drawing r:id="rId1"/>
</worksheet>
</file>